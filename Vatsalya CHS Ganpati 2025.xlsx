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Sheet " sheetId="1" r:id="rId4"/>
    <sheet state="visible" name="Owner " sheetId="2" r:id="rId5"/>
    <sheet state="visible" name="Rental " sheetId="3" r:id="rId6"/>
    <sheet state="hidden" name="Sheet8" sheetId="4" r:id="rId7"/>
    <sheet state="visible" name="Kharch" sheetId="5" r:id="rId8"/>
    <sheet state="visible" name="आरतीचे " sheetId="6" r:id="rId9"/>
  </sheets>
  <definedNames>
    <definedName hidden="1" localSheetId="1" name="_xlnm._FilterDatabase">'Owner '!$B$3:$F$29</definedName>
    <definedName hidden="1" localSheetId="2" name="_xlnm._FilterDatabase">'Rental '!$A$4:$K$34</definedName>
    <definedName hidden="1" localSheetId="4" name="_xlnm._FilterDatabase">Kharch!$A$3:$E$37</definedName>
  </definedNames>
  <calcPr/>
</workbook>
</file>

<file path=xl/sharedStrings.xml><?xml version="1.0" encoding="utf-8"?>
<sst xmlns="http://schemas.openxmlformats.org/spreadsheetml/2006/main" count="480" uniqueCount="233">
  <si>
    <t>वात्सल्य सोसायटी गणेशोत्सव 2025</t>
  </si>
  <si>
    <t xml:space="preserve">जमा खर्च </t>
  </si>
  <si>
    <t>तपशील</t>
  </si>
  <si>
    <t xml:space="preserve">रक्कम </t>
  </si>
  <si>
    <t>जमा झालेली वर्गणी (घरमालक )</t>
  </si>
  <si>
    <t>जमा झालेली वर्गणी (भाडेकरू)</t>
  </si>
  <si>
    <t xml:space="preserve">एकूण वर्गणी जमा </t>
  </si>
  <si>
    <t xml:space="preserve">एकूण खर्च </t>
  </si>
  <si>
    <t xml:space="preserve">एकूण </t>
  </si>
  <si>
    <t xml:space="preserve">Pratik Total Jama Online </t>
  </si>
  <si>
    <t xml:space="preserve">By Rahul retrun bal amt from cash </t>
  </si>
  <si>
    <t xml:space="preserve">Total jama </t>
  </si>
  <si>
    <t xml:space="preserve">Kharch </t>
  </si>
  <si>
    <t xml:space="preserve">To Pratik </t>
  </si>
  <si>
    <t xml:space="preserve">To Vinod </t>
  </si>
  <si>
    <t>To Prajapati</t>
  </si>
  <si>
    <t xml:space="preserve">Total kharch A Online </t>
  </si>
  <si>
    <t xml:space="preserve">Baki </t>
  </si>
  <si>
    <t xml:space="preserve">Rahul Cash Jama vargani </t>
  </si>
  <si>
    <t>Kharch B Cash</t>
  </si>
  <si>
    <t xml:space="preserve">Baki retrun to Pratik online </t>
  </si>
  <si>
    <t xml:space="preserve">  रूम नंबर </t>
  </si>
  <si>
    <t xml:space="preserve">नाव </t>
  </si>
  <si>
    <t xml:space="preserve">नाव  पेमेंट माध्यम </t>
  </si>
  <si>
    <t xml:space="preserve">टिपणी </t>
  </si>
  <si>
    <t>हरिराम प्रजापती</t>
  </si>
  <si>
    <t>Online</t>
  </si>
  <si>
    <t>जालिंदर खंडागळे</t>
  </si>
  <si>
    <t>विनोद शेळके</t>
  </si>
  <si>
    <t>Cash</t>
  </si>
  <si>
    <t>महादेव कोकरे</t>
  </si>
  <si>
    <t>राहुल काळे</t>
  </si>
  <si>
    <t>सचिन मोरे</t>
  </si>
  <si>
    <t>राहुल बनगर</t>
  </si>
  <si>
    <t>भागोजी नरळे</t>
  </si>
  <si>
    <t>सुरज आडे</t>
  </si>
  <si>
    <t>विलास गाडेकर</t>
  </si>
  <si>
    <t>विष्णू सापते</t>
  </si>
  <si>
    <t>अनिल जाधव</t>
  </si>
  <si>
    <t>सचिन कोडग</t>
  </si>
  <si>
    <t>बापूराव घुले</t>
  </si>
  <si>
    <t xml:space="preserve">दगडू कोडग </t>
  </si>
  <si>
    <t>दादा मुळीक</t>
  </si>
  <si>
    <t>धनसिंग साळुंखे</t>
  </si>
  <si>
    <t>आनंद पवार</t>
  </si>
  <si>
    <t xml:space="preserve">बंटी महारांना </t>
  </si>
  <si>
    <t>मधुकर कोडग</t>
  </si>
  <si>
    <t>जालिंदर गोरे</t>
  </si>
  <si>
    <t>मनोहर राऊत</t>
  </si>
  <si>
    <t>प्राजक्ता गुंजाळ</t>
  </si>
  <si>
    <t xml:space="preserve">Total </t>
  </si>
  <si>
    <t xml:space="preserve">Grand Total </t>
  </si>
  <si>
    <t>तळ मजला A</t>
  </si>
  <si>
    <t>पहिला मजला  B</t>
  </si>
  <si>
    <t>दुसरा मजला C</t>
  </si>
  <si>
    <t xml:space="preserve">नाव   </t>
  </si>
  <si>
    <t>पेमेंट माध्यम</t>
  </si>
  <si>
    <t>NA</t>
  </si>
  <si>
    <t xml:space="preserve">Babulal </t>
  </si>
  <si>
    <t xml:space="preserve">Dhiraj Sukhla </t>
  </si>
  <si>
    <t xml:space="preserve">Satish Gaikwad </t>
  </si>
  <si>
    <t xml:space="preserve">Pranav Rout </t>
  </si>
  <si>
    <t>Shivansh Sukhla</t>
  </si>
  <si>
    <t>cash</t>
  </si>
  <si>
    <t>Aaji</t>
  </si>
  <si>
    <t xml:space="preserve">Vinay Mishra </t>
  </si>
  <si>
    <t xml:space="preserve">Rice 5 kg </t>
  </si>
  <si>
    <t xml:space="preserve">Abhijit Gavale </t>
  </si>
  <si>
    <t xml:space="preserve">Raj Sharma </t>
  </si>
  <si>
    <t xml:space="preserve">Pandurang Godavle </t>
  </si>
  <si>
    <t xml:space="preserve">Tushar Dhigude </t>
  </si>
  <si>
    <t xml:space="preserve">Arman Mulani </t>
  </si>
  <si>
    <t xml:space="preserve">shirhe </t>
  </si>
  <si>
    <t>online</t>
  </si>
  <si>
    <t xml:space="preserve">Sambhaji Gaikwad </t>
  </si>
  <si>
    <t xml:space="preserve">Baban Shinde </t>
  </si>
  <si>
    <t xml:space="preserve">Monu Singh </t>
  </si>
  <si>
    <t xml:space="preserve">Pankaj Sharma </t>
  </si>
  <si>
    <t xml:space="preserve">Hanumant Patil </t>
  </si>
  <si>
    <t>Nitin Shinde</t>
  </si>
  <si>
    <t xml:space="preserve">Akshya Gothane </t>
  </si>
  <si>
    <t xml:space="preserve">Pratik Khatale </t>
  </si>
  <si>
    <t>Rudhra Ojaha</t>
  </si>
  <si>
    <t xml:space="preserve">Pratik Kurut </t>
  </si>
  <si>
    <t xml:space="preserve">Rohit Sharma </t>
  </si>
  <si>
    <t>इतर</t>
  </si>
  <si>
    <t xml:space="preserve">Anand Jadhav </t>
  </si>
  <si>
    <t xml:space="preserve">Mahadev shet tandual 30 kg </t>
  </si>
  <si>
    <t xml:space="preserve">Jivraj Aghav </t>
  </si>
  <si>
    <t xml:space="preserve">Naresh Sawant </t>
  </si>
  <si>
    <t>Hanumant Adsul</t>
  </si>
  <si>
    <t xml:space="preserve">Nurvi Gaikwad </t>
  </si>
  <si>
    <t xml:space="preserve">एकूण  </t>
  </si>
  <si>
    <t>Grand Total</t>
  </si>
  <si>
    <t>Room No</t>
  </si>
  <si>
    <t>Name /Mode of pay</t>
  </si>
  <si>
    <t xml:space="preserve">Amount </t>
  </si>
  <si>
    <t xml:space="preserve">Remark </t>
  </si>
  <si>
    <t xml:space="preserve">Room Type </t>
  </si>
  <si>
    <t>Type</t>
  </si>
  <si>
    <t>रूम नंबर. 1 तळ मजला</t>
  </si>
  <si>
    <t>तळ मजला</t>
  </si>
  <si>
    <t>रूम नंबर. 2 तळ मजला</t>
  </si>
  <si>
    <t>रूम नंबर. 3 तळ मजला</t>
  </si>
  <si>
    <t>रूम नंबर. 4 तळ मजला</t>
  </si>
  <si>
    <t>रूम नंबर. 5 तळ मजला</t>
  </si>
  <si>
    <t>रूम नंबर. 6 तळ मजला</t>
  </si>
  <si>
    <t>रूम नंबर. 7 तळ मजला</t>
  </si>
  <si>
    <t>रूम नंबर. 8 तळ मजला</t>
  </si>
  <si>
    <t>रूम नंबर. 9 तळ मजला</t>
  </si>
  <si>
    <t>रूम नंबर. 10 तळ मजला</t>
  </si>
  <si>
    <t>रूम नंबर. 11 तळ मजला</t>
  </si>
  <si>
    <t>रूम नंबर. 12 तळ मजला</t>
  </si>
  <si>
    <t>रूम नंबर. 13 तळ मजला</t>
  </si>
  <si>
    <t>रूम नंबर. 14 तळ मजला</t>
  </si>
  <si>
    <t>रूम नंबर. 15 तळ मजला</t>
  </si>
  <si>
    <t>रूम नंबर. 16 तळ मजला</t>
  </si>
  <si>
    <t>रूम नंबर. 17 तळ मजला</t>
  </si>
  <si>
    <t>रूम नंबर. 18 तळ मजला</t>
  </si>
  <si>
    <t>रूम नंबर. 19 तळ मजला</t>
  </si>
  <si>
    <t>रूम नंबर. 20 तळ मजला</t>
  </si>
  <si>
    <t>रूम नंबर. 21 तळ मजला</t>
  </si>
  <si>
    <t>रूम नंबर. 22 तळ मजला</t>
  </si>
  <si>
    <t>रूम नंबर. 23 तळ मजला</t>
  </si>
  <si>
    <t>रूम नंबर. 24 तळ मजला</t>
  </si>
  <si>
    <t>रूम नंबर. 25 तळ मजला</t>
  </si>
  <si>
    <t xml:space="preserve">रूम नंबर. 1 पहिला मजला </t>
  </si>
  <si>
    <t xml:space="preserve">पहिला मजला </t>
  </si>
  <si>
    <t xml:space="preserve">रूम नंबर. 2 पहिला मजला </t>
  </si>
  <si>
    <t xml:space="preserve">रूम नंबर. 3 पहिला मजला </t>
  </si>
  <si>
    <t xml:space="preserve">रूम नंबर. 4 पहिला मजला </t>
  </si>
  <si>
    <t xml:space="preserve">रूम नंबर. 5 पहिला मजला </t>
  </si>
  <si>
    <t xml:space="preserve">रूम नंबर. 6 पहिला मजला </t>
  </si>
  <si>
    <t xml:space="preserve">रूम नंबर. 7 पहिला मजला </t>
  </si>
  <si>
    <t xml:space="preserve">रूम नंबर. 8 पहिला मजला </t>
  </si>
  <si>
    <t xml:space="preserve">रूम नंबर. 9 पहिला मजला </t>
  </si>
  <si>
    <t xml:space="preserve">रूम नंबर. 10 पहिला मजला </t>
  </si>
  <si>
    <t xml:space="preserve">रूम नंबर. 11 पहिला मजला </t>
  </si>
  <si>
    <t xml:space="preserve">रूम नंबर. 12 पहिला मजला </t>
  </si>
  <si>
    <t xml:space="preserve">रूम नंबर. 13 पहिला मजला </t>
  </si>
  <si>
    <t xml:space="preserve">रूम नंबर. 14 पहिला मजला </t>
  </si>
  <si>
    <t xml:space="preserve">रूम नंबर. 15 पहिला मजला </t>
  </si>
  <si>
    <t xml:space="preserve">रूम नंबर. 16 पहिला मजला </t>
  </si>
  <si>
    <t xml:space="preserve">रूम नंबर. 17 पहिला मजला </t>
  </si>
  <si>
    <t xml:space="preserve">रूम नंबर. 18 पहिला मजला </t>
  </si>
  <si>
    <t xml:space="preserve">रूम नंबर. 19 पहिला मजला </t>
  </si>
  <si>
    <t xml:space="preserve">रूम नंबर. 20 पहिला मजला </t>
  </si>
  <si>
    <t xml:space="preserve">रूम नंबर. 21 पहिला मजला </t>
  </si>
  <si>
    <t xml:space="preserve">रूम नंबर. 22 पहिला मजला </t>
  </si>
  <si>
    <t xml:space="preserve">रूम नंबर. 23 पहिला मजला </t>
  </si>
  <si>
    <t xml:space="preserve">रूम नंबर. 24 पहिला मजला </t>
  </si>
  <si>
    <t xml:space="preserve">रूम नंबर. 25 पहिला मजला </t>
  </si>
  <si>
    <t>रूम नंबर. 1 दुसरा मजला</t>
  </si>
  <si>
    <t>दुसरा मजला</t>
  </si>
  <si>
    <t>रूम नंबर. 2 दुसरा मजला</t>
  </si>
  <si>
    <t>रूम नंबर. 3 दुसरा मजला</t>
  </si>
  <si>
    <t>रूम नंबर. 4 दुसरा मजला</t>
  </si>
  <si>
    <t>रूम नंबर. 5 दुसरा मजला</t>
  </si>
  <si>
    <t>रूम नंबर. 6 दुसरा मजला</t>
  </si>
  <si>
    <t>रूम नंबर. 7 दुसरा मजला</t>
  </si>
  <si>
    <t>रूम नंबर. 8 दुसरा मजला</t>
  </si>
  <si>
    <t>रूम नंबर. 9 दुसरा मजला</t>
  </si>
  <si>
    <t>रूम नंबर. 10 दुसरा मजला</t>
  </si>
  <si>
    <t>रूम नंबर. 11 दुसरा मजला</t>
  </si>
  <si>
    <t>रूम नंबर. 12 दुसरा मजला</t>
  </si>
  <si>
    <t>रूम नंबर. 13 दुसरा मजला</t>
  </si>
  <si>
    <t>रूम नंबर. 14 दुसरा मजला</t>
  </si>
  <si>
    <t>रूम नंबर. 15 दुसरा मजला</t>
  </si>
  <si>
    <t>रूम नंबर. 16 दुसरा मजला</t>
  </si>
  <si>
    <t>रूम नंबर. 17 दुसरा मजला</t>
  </si>
  <si>
    <t>रूम नंबर. 18 दुसरा मजला</t>
  </si>
  <si>
    <t>रूम नंबर. 19 दुसरा मजला</t>
  </si>
  <si>
    <t>रूम नंबर. 20 दुसरा मजला</t>
  </si>
  <si>
    <t>रूम नंबर. 21 दुसरा मजला</t>
  </si>
  <si>
    <t>रूम नंबर. 22 दुसरा मजला</t>
  </si>
  <si>
    <t>रूम नंबर. 23 दुसरा मजला</t>
  </si>
  <si>
    <t>रूम नंबर. 24 दुसरा मजला</t>
  </si>
  <si>
    <t>रूम नंबर. 25 दुसरा मजला</t>
  </si>
  <si>
    <t xml:space="preserve">वात्सल्य सोसायटी गणेशोत्सव खर्च  2025 </t>
  </si>
  <si>
    <t xml:space="preserve">क्रमांक </t>
  </si>
  <si>
    <t xml:space="preserve">दिनांक </t>
  </si>
  <si>
    <t xml:space="preserve"> पेमेंट माध्यम  आणि  टिपणी </t>
  </si>
  <si>
    <t>मूर्ती</t>
  </si>
  <si>
    <t xml:space="preserve">Vinod </t>
  </si>
  <si>
    <t>पूजा सामग्री</t>
  </si>
  <si>
    <t>Rahul</t>
  </si>
  <si>
    <t xml:space="preserve">सजावटी चे साहित्य </t>
  </si>
  <si>
    <t>मशीन दुरुस्ती</t>
  </si>
  <si>
    <t>साऊंड खर्च</t>
  </si>
  <si>
    <t xml:space="preserve">डी मार्ट राशन </t>
  </si>
  <si>
    <t>मसाला</t>
  </si>
  <si>
    <t>पत्रावळी</t>
  </si>
  <si>
    <t xml:space="preserve">गॅस </t>
  </si>
  <si>
    <t xml:space="preserve">स्थिर आणि बॅटरी </t>
  </si>
  <si>
    <t xml:space="preserve">पत्रा </t>
  </si>
  <si>
    <t xml:space="preserve">सजावट हर </t>
  </si>
  <si>
    <t xml:space="preserve">प्रसाद </t>
  </si>
  <si>
    <t xml:space="preserve">धुण्याचे साहित्य </t>
  </si>
  <si>
    <t xml:space="preserve">ब्राह्मण आणि पूजेचे  चे साहित्य </t>
  </si>
  <si>
    <t>बुंधी</t>
  </si>
  <si>
    <t xml:space="preserve">भाजी </t>
  </si>
  <si>
    <t>pradik  online</t>
  </si>
  <si>
    <t xml:space="preserve">ग्लास पाणी </t>
  </si>
  <si>
    <t xml:space="preserve">पूजा प्रसाद आणि भजी </t>
  </si>
  <si>
    <t>पूजा पोषाख</t>
  </si>
  <si>
    <t xml:space="preserve">आचारी </t>
  </si>
  <si>
    <t>हार</t>
  </si>
  <si>
    <t>Prajapati</t>
  </si>
  <si>
    <t xml:space="preserve">पाणी </t>
  </si>
  <si>
    <t xml:space="preserve">प्लास्टिक कागत </t>
  </si>
  <si>
    <t>बक्षिक(मेडल)</t>
  </si>
  <si>
    <t xml:space="preserve">विसर्जन डी  मार्ट साहित्य </t>
  </si>
  <si>
    <t xml:space="preserve">डेकोरेशन भगवा कपडा </t>
  </si>
  <si>
    <t xml:space="preserve">टोपी </t>
  </si>
  <si>
    <t xml:space="preserve">मिरवणूक टेम्पो </t>
  </si>
  <si>
    <t xml:space="preserve">जेवण साहित्य </t>
  </si>
  <si>
    <t>Total</t>
  </si>
  <si>
    <t xml:space="preserve"> आरतीचे आणि सेवेचे नियोजन</t>
  </si>
  <si>
    <t xml:space="preserve"> रूम नंबर  सकाळी 9 वाजता </t>
  </si>
  <si>
    <t xml:space="preserve"> रूम नंबर  संध्याकाळी 8 वाजता </t>
  </si>
  <si>
    <t xml:space="preserve">Sum of रक्कम </t>
  </si>
  <si>
    <t xml:space="preserve">Jama </t>
  </si>
  <si>
    <t xml:space="preserve">to be refund </t>
  </si>
  <si>
    <t xml:space="preserve">paid 1307 to pratik </t>
  </si>
  <si>
    <t>16/21</t>
  </si>
  <si>
    <t xml:space="preserve">Pratik Total Jama </t>
  </si>
  <si>
    <t>टीप :</t>
  </si>
  <si>
    <t>१) ज्यांचा आरतीचा मान आहे; त्यांनी  बाप्पासाठी प्रसाद घेऊन येऊ शकता.</t>
  </si>
  <si>
    <t xml:space="preserve">२)बाप्पाची आरती रोज सकाळची 9 व संध्याकाळी 8 वाजता होईल. </t>
  </si>
  <si>
    <t xml:space="preserve">   बाप्पाच्या आरतीसाठी वेळेत उपस्थित राहणे.</t>
  </si>
  <si>
    <t>३) ज्या दिवशी आपला आरतीचा मान आहे त्या दिवशी बाप्पाच्या सेवेची जबाबदारी घ्यावी ही विनंती.</t>
  </si>
  <si>
    <t>४) आरतीचा मान असलेल्या मानक-यांनी किमान पंधरा मिनिटे अगोदर सहपरिवार  उपस्थित रहा ही विनंती.</t>
  </si>
  <si>
    <t>५) येत्या रविवारी 31/08/2025 रोजी आपल्या बाप्पाची महापूजा आहे.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</si>
</sst>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-409]d/mmm/yyyy"/>
  </numFmts>
  <fonts count="6">
    <font>
      <sz val="11.0"/>
      <color/>
      <name val="Arial"/>
      <scheme val="minor"/>
    </font>
    <font>
      <b/>
      <sz val="11.0"/>
      <color/>
      <name val="Calibri"/>
    </font>
    <font/>
    <font>
      <sz val="11.0"/>
      <color/>
      <name val="Calibri"/>
    </font>
    <font>
      <b/>
      <sz val="12.0"/>
      <color/>
      <name val="Calibri"/>
    </font>
    <font>
      <b/>
      <sz val="14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center"/>
    </xf>
    <xf borderId="2" fillId="0" fontId="3" numFmtId="0" xfId="0" applyBorder="1" applyFont="1"/>
    <xf borderId="2" fillId="0" fontId="3" numFmtId="0" xfId="0" applyAlignment="1" applyBorder="1" applyFont="1">
      <alignment horizontal="center"/>
    </xf>
    <xf borderId="2" fillId="2" fontId="3" numFmtId="0" xfId="0" applyBorder="1" applyFill="1" applyFont="1"/>
    <xf borderId="0" fillId="0" fontId="3" numFmtId="0" xfId="0" applyAlignment="1" applyFont="1">
      <alignment horizontal="center"/>
    </xf>
    <xf borderId="3" fillId="2" fontId="3" numFmtId="0" xfId="0" applyBorder="1" applyFill="1" applyFont="1"/>
    <xf borderId="0" fillId="0" fontId="3" numFmtId="0" xfId="0" applyFont="1"/>
    <xf borderId="4" fillId="0" fontId="1" numFmtId="0" xfId="0" applyAlignment="1" applyBorder="1" applyFont="1">
      <alignment horizontal="center"/>
    </xf>
    <xf borderId="5" fillId="0" fontId="2" numFmtId="0" xfId="0" applyBorder="1" applyFont="1"/>
    <xf borderId="2" fillId="0" fontId="4" numFmtId="0" xfId="0" applyBorder="1" applyFont="1"/>
    <xf borderId="2" fillId="0" fontId="3" numFmtId="0" xfId="0" applyAlignment="1" applyBorder="1" applyFont="1">
      <alignment horizontal="center"/>
    </xf>
    <xf borderId="6" fillId="0" fontId="1" numFmtId="0" xfId="0" applyBorder="1" applyFont="1"/>
    <xf borderId="6" fillId="0" fontId="1" numFmtId="0" xfId="0" applyAlignment="1" applyBorder="1" applyFont="1">
      <alignment horizontal="center"/>
    </xf>
    <xf borderId="7" fillId="0" fontId="1" numFmtId="0" xfId="0" applyBorder="1" applyFont="1"/>
    <xf borderId="0" fillId="0" fontId="1" numFmtId="0" xfId="0" applyFont="1"/>
    <xf borderId="2" fillId="0" fontId="3" numFmtId="0" xfId="0" applyAlignment="1" applyBorder="1" applyFont="1">
      <alignment shrinkToFit="0" wrapText="1"/>
    </xf>
    <xf borderId="0" fillId="0" fontId="5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2" fillId="0" fontId="3" numFmtId="164" xfId="0" applyAlignment="1" applyBorder="1" applyFont="1" applyNumberFormat="1">
      <alignment horizontal="center"/>
    </xf>
    <xf borderId="2" fillId="0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8.0"/>
    <col customWidth="1" min="3" max="11" width="7.88"/>
  </cols>
  <sheetData>
    <row r="2">
      <c r="A2" s="1" t="s">
        <v>0</v>
      </c>
    </row>
    <row r="3">
      <c r="A3" s="2" t="s">
        <v>1</v>
      </c>
      <c r="B3" s="3"/>
    </row>
    <row r="4">
      <c r="A4" s="4" t="s">
        <v>2</v>
      </c>
      <c r="B4" s="5" t="s">
        <v>3</v>
      </c>
    </row>
    <row r="5">
      <c r="A5" s="4"/>
      <c r="B5" s="5"/>
    </row>
    <row r="6">
      <c r="A6" s="6" t="s">
        <v>4</v>
      </c>
      <c r="B6" s="7" t="str">
        <f>'Owner '!D29</f>
        <v>29518</v>
      </c>
    </row>
    <row r="7">
      <c r="A7" s="6" t="s">
        <v>5</v>
      </c>
      <c r="B7" s="7" t="str">
        <f>'Rental '!C34</f>
        <v>15584</v>
      </c>
    </row>
    <row r="8">
      <c r="A8" s="4" t="s">
        <v>6</v>
      </c>
      <c r="B8" s="5" t="str">
        <f>SUM(B6:B7)</f>
        <v>45102</v>
      </c>
    </row>
    <row r="9">
      <c r="A9" s="6"/>
      <c r="B9" s="7"/>
    </row>
    <row r="10">
      <c r="A10" s="4" t="s">
        <v>7</v>
      </c>
      <c r="B10" s="5" t="str">
        <f>Kharch!D37</f>
        <v>36094</v>
      </c>
    </row>
    <row r="11">
      <c r="A11" s="6"/>
      <c r="B11" s="7"/>
    </row>
    <row r="12">
      <c r="A12" s="4" t="s">
        <v>8</v>
      </c>
      <c r="B12" s="5" t="str">
        <f>B8-B10</f>
        <v>9008</v>
      </c>
    </row>
    <row r="15">
      <c r="A15" s="8" t="s">
        <v>9</v>
      </c>
      <c r="B15" s="8">
        <v>27385.0</v>
      </c>
    </row>
    <row r="16">
      <c r="A16" s="6" t="s">
        <v>10</v>
      </c>
      <c r="B16" s="6">
        <v>982.0</v>
      </c>
    </row>
    <row r="17">
      <c r="A17" s="6" t="s">
        <v>11</v>
      </c>
      <c r="B17" s="6" t="str">
        <f>SUM(B15:B16)</f>
        <v>28367</v>
      </c>
    </row>
    <row r="18">
      <c r="A18" s="8" t="s">
        <v>12</v>
      </c>
      <c r="B18" s="6"/>
    </row>
    <row r="19">
      <c r="A19" s="6" t="s">
        <v>13</v>
      </c>
      <c r="B19" s="6">
        <v>1965.0</v>
      </c>
    </row>
    <row r="20">
      <c r="A20" s="6" t="s">
        <v>14</v>
      </c>
      <c r="B20" s="6">
        <v>16754.0</v>
      </c>
    </row>
    <row r="21" ht="15.75" customHeight="1">
      <c r="A21" s="6" t="s">
        <v>15</v>
      </c>
      <c r="B21" s="6">
        <v>640.0</v>
      </c>
    </row>
    <row r="22" ht="15.75" customHeight="1">
      <c r="A22" s="6" t="s">
        <v>16</v>
      </c>
      <c r="B22" s="6" t="str">
        <f>SUM(B19:B21)</f>
        <v>19359</v>
      </c>
    </row>
    <row r="23" ht="15.75" customHeight="1">
      <c r="A23" s="6" t="s">
        <v>17</v>
      </c>
      <c r="B23" s="6" t="str">
        <f>B17-B22</f>
        <v>9008</v>
      </c>
    </row>
    <row r="24" ht="15.75" customHeight="1"/>
    <row r="25" ht="15.75" customHeight="1">
      <c r="A25" s="6" t="s">
        <v>18</v>
      </c>
      <c r="B25" s="6">
        <v>17717.0</v>
      </c>
    </row>
    <row r="26" ht="15.75" customHeight="1">
      <c r="A26" s="6" t="s">
        <v>19</v>
      </c>
      <c r="B26" s="6">
        <v>16735.0</v>
      </c>
    </row>
    <row r="27" ht="15.75" customHeight="1">
      <c r="A27" s="6" t="s">
        <v>20</v>
      </c>
      <c r="B27" s="6" t="str">
        <f>B25-B26</f>
        <v>982</v>
      </c>
    </row>
    <row r="28" ht="15.75" customHeight="1">
      <c r="B28">
        <v>325.0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2:B2"/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7.88"/>
    <col customWidth="1" min="3" max="3" width="17.5"/>
    <col customWidth="1" min="4" max="4" width="7.88"/>
    <col customWidth="1" min="5" max="5" width="15.25"/>
    <col customWidth="1" min="6" max="6" width="7.88"/>
    <col customWidth="1" min="7" max="7" width="4.0"/>
    <col customWidth="1" min="8" max="12" width="7.88"/>
  </cols>
  <sheetData>
    <row r="1">
      <c r="A1" s="1" t="s">
        <v>0</v>
      </c>
    </row>
    <row r="2">
      <c r="A2" s="9" t="s">
        <v>4</v>
      </c>
    </row>
    <row r="3" ht="18.75" customHeight="1">
      <c r="B3" s="4" t="s">
        <v>21</v>
      </c>
      <c r="C3" s="4" t="s">
        <v>22</v>
      </c>
      <c r="D3" s="5" t="s">
        <v>3</v>
      </c>
      <c r="E3" s="4" t="s">
        <v>23</v>
      </c>
      <c r="F3" s="4" t="s">
        <v>24</v>
      </c>
    </row>
    <row r="4" ht="18.75" customHeight="1">
      <c r="B4" s="7">
        <v>1.0</v>
      </c>
      <c r="C4" s="6" t="s">
        <v>25</v>
      </c>
      <c r="D4" s="7">
        <v>1501.0</v>
      </c>
      <c r="E4" s="6" t="s">
        <v>26</v>
      </c>
      <c r="F4" s="6"/>
    </row>
    <row r="5" ht="18.75" customHeight="1">
      <c r="B5" s="7">
        <v>2.0</v>
      </c>
      <c r="C5" s="6" t="s">
        <v>27</v>
      </c>
      <c r="D5" s="7"/>
      <c r="E5" s="6"/>
      <c r="F5" s="6"/>
    </row>
    <row r="6" ht="18.75" customHeight="1">
      <c r="B6" s="7">
        <v>3.0</v>
      </c>
      <c r="C6" s="6" t="s">
        <v>28</v>
      </c>
      <c r="D6" s="7">
        <v>1501.0</v>
      </c>
      <c r="E6" s="6" t="s">
        <v>29</v>
      </c>
      <c r="F6" s="6"/>
    </row>
    <row r="7" ht="18.75" customHeight="1">
      <c r="B7" s="7">
        <v>4.0</v>
      </c>
      <c r="C7" s="6" t="s">
        <v>30</v>
      </c>
      <c r="D7" s="7">
        <v>1501.0</v>
      </c>
      <c r="E7" s="6" t="s">
        <v>26</v>
      </c>
      <c r="F7" s="6"/>
    </row>
    <row r="8" ht="18.75" customHeight="1">
      <c r="B8" s="7">
        <v>5.0</v>
      </c>
      <c r="C8" s="6" t="s">
        <v>31</v>
      </c>
      <c r="D8" s="7">
        <v>1501.0</v>
      </c>
      <c r="E8" s="6" t="s">
        <v>29</v>
      </c>
      <c r="F8" s="6"/>
    </row>
    <row r="9" ht="18.75" customHeight="1">
      <c r="B9" s="7">
        <v>6.0</v>
      </c>
      <c r="C9" s="6"/>
      <c r="D9" s="7"/>
      <c r="E9" s="6"/>
      <c r="F9" s="6"/>
    </row>
    <row r="10" ht="18.75" customHeight="1">
      <c r="B10" s="7">
        <v>7.0</v>
      </c>
      <c r="C10" s="6" t="s">
        <v>32</v>
      </c>
      <c r="D10" s="7">
        <v>1500.0</v>
      </c>
      <c r="E10" s="6" t="s">
        <v>26</v>
      </c>
      <c r="F10" s="6"/>
    </row>
    <row r="11" ht="18.75" customHeight="1">
      <c r="B11" s="7">
        <v>8.0</v>
      </c>
      <c r="C11" s="6" t="s">
        <v>33</v>
      </c>
      <c r="D11" s="7">
        <v>1501.0</v>
      </c>
      <c r="E11" s="6" t="s">
        <v>29</v>
      </c>
      <c r="F11" s="6"/>
    </row>
    <row r="12" ht="18.75" customHeight="1">
      <c r="B12" s="7">
        <v>9.0</v>
      </c>
      <c r="C12" s="6" t="s">
        <v>34</v>
      </c>
      <c r="D12" s="7">
        <v>1501.0</v>
      </c>
      <c r="E12" s="6" t="s">
        <v>29</v>
      </c>
      <c r="F12" s="6"/>
    </row>
    <row r="13" ht="18.75" customHeight="1">
      <c r="B13" s="7">
        <v>10.0</v>
      </c>
      <c r="C13" s="6" t="s">
        <v>35</v>
      </c>
      <c r="D13" s="7">
        <v>1001.0</v>
      </c>
      <c r="E13" s="6" t="s">
        <v>26</v>
      </c>
      <c r="F13" s="6"/>
    </row>
    <row r="14" ht="18.75" customHeight="1">
      <c r="B14" s="7">
        <v>11.0</v>
      </c>
      <c r="C14" s="6" t="s">
        <v>36</v>
      </c>
      <c r="D14" s="7">
        <v>1501.0</v>
      </c>
      <c r="E14" s="6" t="s">
        <v>26</v>
      </c>
      <c r="F14" s="6"/>
    </row>
    <row r="15" ht="18.75" customHeight="1">
      <c r="B15" s="7">
        <v>12.0</v>
      </c>
      <c r="C15" s="6" t="s">
        <v>37</v>
      </c>
      <c r="D15" s="7">
        <v>1501.0</v>
      </c>
      <c r="E15" s="6" t="s">
        <v>29</v>
      </c>
      <c r="F15" s="6"/>
    </row>
    <row r="16" ht="18.75" customHeight="1">
      <c r="B16" s="7">
        <v>13.0</v>
      </c>
      <c r="C16" s="6" t="s">
        <v>38</v>
      </c>
      <c r="D16" s="7">
        <v>1501.0</v>
      </c>
      <c r="E16" s="6" t="s">
        <v>26</v>
      </c>
      <c r="F16" s="6"/>
    </row>
    <row r="17" ht="18.75" customHeight="1">
      <c r="B17" s="7">
        <v>14.0</v>
      </c>
      <c r="C17" s="6" t="s">
        <v>39</v>
      </c>
      <c r="D17" s="7">
        <v>1501.0</v>
      </c>
      <c r="E17" s="6" t="s">
        <v>26</v>
      </c>
      <c r="F17" s="6"/>
    </row>
    <row r="18" ht="18.75" customHeight="1">
      <c r="B18" s="7">
        <v>15.0</v>
      </c>
      <c r="C18" s="6" t="s">
        <v>40</v>
      </c>
      <c r="D18" s="7">
        <v>1501.0</v>
      </c>
      <c r="E18" s="6" t="s">
        <v>26</v>
      </c>
      <c r="F18" s="6"/>
    </row>
    <row r="19" ht="18.75" customHeight="1">
      <c r="B19" s="7">
        <v>16.0</v>
      </c>
      <c r="C19" s="6" t="s">
        <v>41</v>
      </c>
      <c r="D19" s="7">
        <v>1501.0</v>
      </c>
      <c r="E19" s="6" t="s">
        <v>26</v>
      </c>
      <c r="F19" s="6"/>
    </row>
    <row r="20" ht="18.75" customHeight="1">
      <c r="B20" s="7">
        <v>17.0</v>
      </c>
      <c r="C20" s="6" t="s">
        <v>42</v>
      </c>
      <c r="D20" s="7">
        <v>1501.0</v>
      </c>
      <c r="E20" s="6" t="s">
        <v>29</v>
      </c>
      <c r="F20" s="6"/>
    </row>
    <row r="21" ht="18.75" customHeight="1">
      <c r="B21" s="7">
        <v>18.0</v>
      </c>
      <c r="C21" s="6" t="s">
        <v>43</v>
      </c>
      <c r="D21" s="7">
        <v>1501.0</v>
      </c>
      <c r="E21" s="6" t="s">
        <v>26</v>
      </c>
      <c r="F21" s="6"/>
    </row>
    <row r="22" ht="18.75" customHeight="1">
      <c r="B22" s="7">
        <v>19.0</v>
      </c>
      <c r="C22" s="6" t="s">
        <v>44</v>
      </c>
      <c r="D22" s="7"/>
      <c r="E22" s="6"/>
      <c r="F22" s="6"/>
    </row>
    <row r="23" ht="18.75" customHeight="1">
      <c r="B23" s="7">
        <v>20.0</v>
      </c>
      <c r="C23" s="6" t="s">
        <v>45</v>
      </c>
      <c r="D23" s="7">
        <v>1501.0</v>
      </c>
      <c r="E23" s="6" t="s">
        <v>26</v>
      </c>
      <c r="F23" s="6"/>
    </row>
    <row r="24" ht="18.75" customHeight="1">
      <c r="B24" s="7">
        <v>21.0</v>
      </c>
      <c r="C24" s="6" t="s">
        <v>46</v>
      </c>
      <c r="D24" s="7">
        <v>1501.0</v>
      </c>
      <c r="E24" s="6" t="s">
        <v>29</v>
      </c>
      <c r="F24" s="6"/>
    </row>
    <row r="25" ht="18.75" customHeight="1">
      <c r="B25" s="7">
        <v>22.0</v>
      </c>
      <c r="C25" s="6" t="s">
        <v>47</v>
      </c>
      <c r="D25" s="7">
        <v>1501.0</v>
      </c>
      <c r="E25" s="6" t="s">
        <v>29</v>
      </c>
      <c r="F25" s="6"/>
    </row>
    <row r="26" ht="18.75" customHeight="1">
      <c r="B26" s="7">
        <v>23.0</v>
      </c>
      <c r="C26" s="6" t="s">
        <v>48</v>
      </c>
      <c r="D26" s="7">
        <v>1500.0</v>
      </c>
      <c r="E26" s="6" t="s">
        <v>26</v>
      </c>
      <c r="F26" s="6"/>
    </row>
    <row r="27" ht="18.75" customHeight="1">
      <c r="B27" s="7">
        <v>24.0</v>
      </c>
      <c r="C27" s="6" t="s">
        <v>49</v>
      </c>
      <c r="D27" s="7"/>
      <c r="E27" s="6"/>
      <c r="F27" s="6"/>
    </row>
    <row r="28" ht="18.75" customHeight="1">
      <c r="B28" s="7">
        <v>25.0</v>
      </c>
      <c r="C28" s="6"/>
      <c r="D28" s="7"/>
      <c r="E28" s="6"/>
      <c r="F28" s="6"/>
    </row>
    <row r="29" ht="18.75" customHeight="1">
      <c r="B29" s="6"/>
      <c r="C29" s="4" t="s">
        <v>8</v>
      </c>
      <c r="D29" s="5" t="str">
        <f>SUM(D4:D28)</f>
        <v>29518</v>
      </c>
      <c r="E29" s="4"/>
      <c r="F29" s="4"/>
    </row>
    <row r="30" ht="15.75" customHeight="1"/>
    <row r="31" ht="15.75" customHeight="1"/>
    <row r="32" ht="15.75" customHeight="1">
      <c r="C32" t="s">
        <v>29</v>
      </c>
      <c r="D32" s="10" t="str">
        <f>D6+D8+D11+D12+D15+D20+D24+D25</f>
        <v>12008</v>
      </c>
    </row>
    <row r="33" ht="15.75" customHeight="1">
      <c r="C33" t="s">
        <v>26</v>
      </c>
      <c r="D33" s="10" t="str">
        <f>D4+D7+D10+D13+D14+D16+D17+D18+D19+D21+D23+D26</f>
        <v>17510</v>
      </c>
    </row>
    <row r="34" ht="15.75" customHeight="1">
      <c r="C34" t="s">
        <v>50</v>
      </c>
      <c r="D34" t="str">
        <f>D33+D32</f>
        <v>29518</v>
      </c>
    </row>
    <row r="35" ht="15.75" customHeight="1"/>
    <row r="36" ht="15.75" customHeight="1"/>
    <row r="37" ht="15.75" customHeight="1">
      <c r="C37" t="s">
        <v>51</v>
      </c>
    </row>
    <row r="38" ht="15.75" customHeight="1">
      <c r="C38" t="s">
        <v>29</v>
      </c>
      <c r="D38" t="str">
        <f>D32+'Rental '!C41</f>
        <v>17717</v>
      </c>
      <c r="E38">
        <v>18038.0</v>
      </c>
      <c r="F38" t="str">
        <f>E38-D38</f>
        <v>321</v>
      </c>
    </row>
    <row r="39" ht="15.75" customHeight="1">
      <c r="C39" t="s">
        <v>26</v>
      </c>
      <c r="D39" t="str">
        <f>D33+'Rental '!C42</f>
        <v>27385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>
      <c r="L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B$3:$F$29"/>
  <mergeCells count="2">
    <mergeCell ref="A1:F1"/>
    <mergeCell ref="A2:G2"/>
  </mergeCells>
  <printOptions/>
  <pageMargins bottom="0.751388888888889" footer="0.0" header="0.0" left="0.700694444444445" right="0.700694444444445" top="0.751388888888889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8.38"/>
    <col customWidth="1" min="3" max="3" width="8.38"/>
    <col customWidth="1" min="4" max="4" width="5.75"/>
    <col customWidth="1" min="5" max="5" width="18.38"/>
    <col customWidth="1" min="6" max="7" width="8.38"/>
    <col customWidth="1" min="8" max="8" width="18.38"/>
    <col customWidth="1" min="9" max="10" width="8.38"/>
    <col customWidth="1" min="11" max="11" width="7.88"/>
  </cols>
  <sheetData>
    <row r="1">
      <c r="A1" s="1" t="s">
        <v>0</v>
      </c>
      <c r="J1" s="1"/>
    </row>
    <row r="2">
      <c r="A2" s="9" t="s">
        <v>5</v>
      </c>
    </row>
    <row r="3">
      <c r="B3" s="12" t="s">
        <v>52</v>
      </c>
      <c r="C3" s="13"/>
      <c r="D3" s="5"/>
      <c r="E3" s="12" t="s">
        <v>53</v>
      </c>
      <c r="F3" s="13"/>
      <c r="G3" s="5"/>
      <c r="H3" s="12" t="s">
        <v>54</v>
      </c>
      <c r="I3" s="13"/>
      <c r="J3" s="1"/>
    </row>
    <row r="4">
      <c r="A4" s="14" t="s">
        <v>21</v>
      </c>
      <c r="B4" s="14" t="s">
        <v>55</v>
      </c>
      <c r="C4" s="5" t="s">
        <v>3</v>
      </c>
      <c r="D4" s="5" t="s">
        <v>56</v>
      </c>
      <c r="E4" s="14" t="s">
        <v>23</v>
      </c>
      <c r="F4" s="5" t="s">
        <v>3</v>
      </c>
      <c r="G4" s="5" t="s">
        <v>56</v>
      </c>
      <c r="H4" s="14" t="s">
        <v>23</v>
      </c>
      <c r="I4" s="5" t="s">
        <v>3</v>
      </c>
      <c r="J4" s="5" t="s">
        <v>56</v>
      </c>
      <c r="K4" s="4" t="s">
        <v>24</v>
      </c>
    </row>
    <row r="5">
      <c r="A5" s="7">
        <v>1.0</v>
      </c>
      <c r="B5" s="6" t="s">
        <v>57</v>
      </c>
      <c r="C5" s="7"/>
      <c r="D5" s="7"/>
      <c r="E5" s="6" t="s">
        <v>57</v>
      </c>
      <c r="F5" s="6"/>
      <c r="G5" s="6"/>
      <c r="H5" s="6" t="s">
        <v>57</v>
      </c>
      <c r="I5" s="6"/>
      <c r="J5" s="6"/>
      <c r="K5" s="6"/>
    </row>
    <row r="6">
      <c r="A6" s="7">
        <v>2.0</v>
      </c>
      <c r="B6" s="6" t="s">
        <v>58</v>
      </c>
      <c r="C6" s="7">
        <v>501.0</v>
      </c>
      <c r="D6" s="7" t="s">
        <v>26</v>
      </c>
      <c r="E6" s="6" t="s">
        <v>59</v>
      </c>
      <c r="F6" s="6">
        <v>200.0</v>
      </c>
      <c r="G6" s="6" t="s">
        <v>26</v>
      </c>
      <c r="H6" s="6" t="s">
        <v>57</v>
      </c>
      <c r="I6" s="6"/>
      <c r="J6" s="6"/>
      <c r="K6" s="6"/>
    </row>
    <row r="7">
      <c r="A7" s="7">
        <v>3.0</v>
      </c>
      <c r="B7" s="6" t="s">
        <v>57</v>
      </c>
      <c r="C7" s="7"/>
      <c r="D7" s="7"/>
      <c r="E7" s="6" t="s">
        <v>57</v>
      </c>
      <c r="F7" s="6"/>
      <c r="G7" s="6"/>
      <c r="H7" s="6"/>
      <c r="I7" s="6"/>
      <c r="J7" s="6"/>
      <c r="K7" s="6"/>
    </row>
    <row r="8">
      <c r="A8" s="7">
        <v>4.0</v>
      </c>
      <c r="B8" s="6" t="s">
        <v>60</v>
      </c>
      <c r="C8" s="7">
        <v>501.0</v>
      </c>
      <c r="D8" s="7" t="s">
        <v>26</v>
      </c>
      <c r="E8" s="6" t="s">
        <v>61</v>
      </c>
      <c r="F8" s="6">
        <v>501.0</v>
      </c>
      <c r="G8" s="6" t="s">
        <v>26</v>
      </c>
      <c r="H8" s="6"/>
      <c r="I8" s="6"/>
      <c r="J8" s="6"/>
      <c r="K8" s="6"/>
    </row>
    <row r="9">
      <c r="A9" s="7">
        <v>5.0</v>
      </c>
      <c r="B9" s="6" t="s">
        <v>57</v>
      </c>
      <c r="C9" s="7"/>
      <c r="D9" s="7"/>
      <c r="E9" s="6" t="s">
        <v>57</v>
      </c>
      <c r="F9" s="6"/>
      <c r="G9" s="6"/>
      <c r="H9" s="6" t="s">
        <v>57</v>
      </c>
      <c r="I9" s="6"/>
      <c r="J9" s="6"/>
      <c r="K9" s="6"/>
    </row>
    <row r="10">
      <c r="A10" s="7">
        <v>6.0</v>
      </c>
      <c r="B10" s="6"/>
      <c r="C10" s="7"/>
      <c r="D10" s="7"/>
      <c r="E10" s="6"/>
      <c r="F10" s="6"/>
      <c r="G10" s="6"/>
      <c r="H10" s="6" t="s">
        <v>57</v>
      </c>
      <c r="I10" s="6"/>
      <c r="J10" s="6"/>
      <c r="K10" s="6"/>
    </row>
    <row r="11">
      <c r="A11" s="7">
        <v>7.0</v>
      </c>
      <c r="B11" s="6"/>
      <c r="C11" s="7"/>
      <c r="D11" s="7"/>
      <c r="E11" s="6" t="s">
        <v>57</v>
      </c>
      <c r="F11" s="6"/>
      <c r="G11" s="6"/>
      <c r="H11" s="6" t="s">
        <v>62</v>
      </c>
      <c r="I11" s="6">
        <v>501.0</v>
      </c>
      <c r="J11" s="6" t="s">
        <v>63</v>
      </c>
      <c r="K11" s="6"/>
    </row>
    <row r="12">
      <c r="A12" s="7">
        <v>8.0</v>
      </c>
      <c r="B12" s="6" t="s">
        <v>64</v>
      </c>
      <c r="C12" s="7">
        <v>200.0</v>
      </c>
      <c r="D12" s="7" t="s">
        <v>29</v>
      </c>
      <c r="E12" s="6"/>
      <c r="F12" s="6"/>
      <c r="G12" s="6"/>
      <c r="H12" s="6" t="s">
        <v>65</v>
      </c>
      <c r="I12" s="6">
        <v>501.0</v>
      </c>
      <c r="J12" s="6" t="s">
        <v>63</v>
      </c>
      <c r="K12" s="6"/>
    </row>
    <row r="13">
      <c r="A13" s="7">
        <v>9.0</v>
      </c>
      <c r="B13" s="6" t="s">
        <v>66</v>
      </c>
      <c r="C13" s="7"/>
      <c r="D13" s="7"/>
      <c r="E13" s="6" t="s">
        <v>57</v>
      </c>
      <c r="F13" s="6"/>
      <c r="G13" s="6"/>
      <c r="H13" s="6"/>
      <c r="I13" s="6"/>
      <c r="J13" s="6"/>
      <c r="K13" s="6"/>
    </row>
    <row r="14">
      <c r="A14" s="7">
        <v>10.0</v>
      </c>
      <c r="B14" s="6" t="s">
        <v>57</v>
      </c>
      <c r="C14" s="7"/>
      <c r="D14" s="7"/>
      <c r="E14" s="6" t="s">
        <v>57</v>
      </c>
      <c r="F14" s="6"/>
      <c r="G14" s="6"/>
      <c r="H14" s="6"/>
      <c r="I14" s="6"/>
      <c r="J14" s="6"/>
      <c r="K14" s="6"/>
    </row>
    <row r="15">
      <c r="A15" s="7">
        <v>11.0</v>
      </c>
      <c r="B15" s="6" t="s">
        <v>67</v>
      </c>
      <c r="C15" s="15">
        <v>551.0</v>
      </c>
      <c r="D15" s="7" t="s">
        <v>26</v>
      </c>
      <c r="E15" s="6" t="s">
        <v>68</v>
      </c>
      <c r="F15" s="6">
        <v>501.0</v>
      </c>
      <c r="G15" s="6" t="s">
        <v>26</v>
      </c>
      <c r="H15" s="6"/>
      <c r="I15" s="6"/>
      <c r="J15" s="6"/>
      <c r="K15" s="6"/>
    </row>
    <row r="16">
      <c r="A16" s="7">
        <v>12.0</v>
      </c>
      <c r="B16" s="6" t="s">
        <v>69</v>
      </c>
      <c r="C16" s="7">
        <v>501.0</v>
      </c>
      <c r="D16" s="7" t="s">
        <v>63</v>
      </c>
      <c r="E16" s="6" t="s">
        <v>57</v>
      </c>
      <c r="F16" s="6"/>
      <c r="G16" s="6"/>
      <c r="H16" s="6" t="s">
        <v>70</v>
      </c>
      <c r="I16" s="6">
        <v>501.0</v>
      </c>
      <c r="J16" s="6" t="s">
        <v>63</v>
      </c>
      <c r="K16" s="6"/>
    </row>
    <row r="17">
      <c r="A17" s="7">
        <v>13.0</v>
      </c>
      <c r="B17" s="6"/>
      <c r="C17" s="7"/>
      <c r="D17" s="7"/>
      <c r="E17" s="6"/>
      <c r="F17" s="6"/>
      <c r="G17" s="6"/>
      <c r="H17" s="6" t="s">
        <v>71</v>
      </c>
      <c r="I17" s="6">
        <v>501.0</v>
      </c>
      <c r="J17" s="6" t="s">
        <v>63</v>
      </c>
      <c r="K17" s="6"/>
    </row>
    <row r="18">
      <c r="A18" s="7">
        <v>14.0</v>
      </c>
      <c r="B18" s="6"/>
      <c r="C18" s="7"/>
      <c r="D18" s="7"/>
      <c r="E18" s="6" t="s">
        <v>57</v>
      </c>
      <c r="F18" s="6"/>
      <c r="G18" s="6"/>
      <c r="H18" s="6" t="s">
        <v>72</v>
      </c>
      <c r="I18" s="6">
        <v>501.0</v>
      </c>
      <c r="J18" s="6" t="s">
        <v>73</v>
      </c>
      <c r="K18" s="6"/>
    </row>
    <row r="19">
      <c r="A19" s="7">
        <v>15.0</v>
      </c>
      <c r="B19" s="6" t="s">
        <v>74</v>
      </c>
      <c r="C19" s="7">
        <v>501.0</v>
      </c>
      <c r="D19" s="7" t="s">
        <v>29</v>
      </c>
      <c r="E19" s="6" t="s">
        <v>57</v>
      </c>
      <c r="F19" s="6"/>
      <c r="G19" s="6"/>
      <c r="H19" s="6" t="s">
        <v>57</v>
      </c>
      <c r="I19" s="6"/>
      <c r="J19" s="6"/>
      <c r="K19" s="6"/>
    </row>
    <row r="20">
      <c r="A20" s="7">
        <v>16.0</v>
      </c>
      <c r="B20" s="6" t="s">
        <v>75</v>
      </c>
      <c r="C20" s="7">
        <v>501.0</v>
      </c>
      <c r="D20" s="7" t="s">
        <v>26</v>
      </c>
      <c r="E20" s="6" t="s">
        <v>57</v>
      </c>
      <c r="F20" s="6"/>
      <c r="G20" s="6"/>
      <c r="H20" s="6" t="s">
        <v>57</v>
      </c>
      <c r="I20" s="6"/>
      <c r="J20" s="6"/>
      <c r="K20" s="6"/>
    </row>
    <row r="21" ht="15.75" customHeight="1">
      <c r="A21" s="7">
        <v>17.0</v>
      </c>
      <c r="B21" s="6" t="s">
        <v>57</v>
      </c>
      <c r="C21" s="7"/>
      <c r="D21" s="7"/>
      <c r="E21" s="6" t="s">
        <v>57</v>
      </c>
      <c r="F21" s="6"/>
      <c r="G21" s="6"/>
      <c r="H21" s="6" t="s">
        <v>57</v>
      </c>
      <c r="I21" s="6"/>
      <c r="J21" s="6"/>
      <c r="K21" s="6"/>
    </row>
    <row r="22" ht="15.75" customHeight="1">
      <c r="A22" s="7">
        <v>18.0</v>
      </c>
      <c r="B22" s="6" t="s">
        <v>76</v>
      </c>
      <c r="C22" s="7">
        <v>501.0</v>
      </c>
      <c r="D22" s="7" t="s">
        <v>26</v>
      </c>
      <c r="E22" s="6" t="s">
        <v>57</v>
      </c>
      <c r="F22" s="6"/>
      <c r="G22" s="6"/>
      <c r="H22" s="6" t="s">
        <v>57</v>
      </c>
      <c r="I22" s="6"/>
      <c r="J22" s="6"/>
      <c r="K22" s="6"/>
    </row>
    <row r="23" ht="15.75" customHeight="1">
      <c r="A23" s="7">
        <v>19.0</v>
      </c>
      <c r="B23" s="6"/>
      <c r="C23" s="7"/>
      <c r="D23" s="7"/>
      <c r="E23" s="6" t="s">
        <v>77</v>
      </c>
      <c r="F23" s="6">
        <v>501.0</v>
      </c>
      <c r="G23" s="6" t="s">
        <v>26</v>
      </c>
      <c r="H23" s="6" t="s">
        <v>57</v>
      </c>
      <c r="I23" s="6"/>
      <c r="J23" s="6"/>
      <c r="K23" s="6"/>
    </row>
    <row r="24" ht="15.75" customHeight="1">
      <c r="A24" s="7">
        <v>20.0</v>
      </c>
      <c r="B24" s="6" t="s">
        <v>57</v>
      </c>
      <c r="C24" s="7"/>
      <c r="D24" s="7"/>
      <c r="E24" s="6" t="s">
        <v>57</v>
      </c>
      <c r="F24" s="6"/>
      <c r="G24" s="6"/>
      <c r="H24" s="6" t="s">
        <v>57</v>
      </c>
      <c r="I24" s="6"/>
      <c r="J24" s="6"/>
      <c r="K24" s="6"/>
    </row>
    <row r="25" ht="15.75" customHeight="1">
      <c r="A25" s="7">
        <v>21.0</v>
      </c>
      <c r="B25" s="6" t="s">
        <v>78</v>
      </c>
      <c r="C25" s="7">
        <v>501.0</v>
      </c>
      <c r="D25" s="7" t="s">
        <v>29</v>
      </c>
      <c r="E25" s="6" t="s">
        <v>79</v>
      </c>
      <c r="F25" s="6">
        <v>501.0</v>
      </c>
      <c r="G25" s="6" t="s">
        <v>26</v>
      </c>
      <c r="H25" s="6" t="s">
        <v>80</v>
      </c>
      <c r="I25" s="6">
        <v>501.0</v>
      </c>
      <c r="J25" s="6" t="s">
        <v>73</v>
      </c>
      <c r="K25" s="6"/>
    </row>
    <row r="26" ht="15.75" customHeight="1">
      <c r="A26" s="7">
        <v>22.0</v>
      </c>
      <c r="B26" s="6" t="s">
        <v>60</v>
      </c>
      <c r="C26" s="7">
        <v>1111.0</v>
      </c>
      <c r="D26" s="7" t="s">
        <v>26</v>
      </c>
      <c r="E26" s="6" t="s">
        <v>57</v>
      </c>
      <c r="F26" s="6"/>
      <c r="G26" s="6"/>
      <c r="H26" s="6" t="s">
        <v>57</v>
      </c>
      <c r="I26" s="6"/>
      <c r="J26" s="6"/>
      <c r="K26" s="6"/>
    </row>
    <row r="27" ht="15.75" customHeight="1">
      <c r="A27" s="7">
        <v>23.0</v>
      </c>
      <c r="B27" s="6" t="s">
        <v>81</v>
      </c>
      <c r="C27" s="7">
        <v>501.0</v>
      </c>
      <c r="D27" s="7" t="s">
        <v>26</v>
      </c>
      <c r="E27" s="6" t="s">
        <v>82</v>
      </c>
      <c r="F27" s="6">
        <v>501.0</v>
      </c>
      <c r="G27" s="6" t="s">
        <v>29</v>
      </c>
      <c r="H27" s="6" t="s">
        <v>83</v>
      </c>
      <c r="I27" s="6">
        <v>500.0</v>
      </c>
      <c r="J27" s="6" t="s">
        <v>73</v>
      </c>
      <c r="K27" s="6"/>
    </row>
    <row r="28" ht="15.75" customHeight="1">
      <c r="A28" s="7">
        <v>24.0</v>
      </c>
      <c r="B28" s="6" t="s">
        <v>84</v>
      </c>
      <c r="C28" s="7">
        <v>501.0</v>
      </c>
      <c r="D28" s="7" t="s">
        <v>26</v>
      </c>
      <c r="E28" s="6"/>
      <c r="F28" s="6"/>
      <c r="G28" s="6"/>
      <c r="H28" s="6"/>
      <c r="I28" s="6"/>
      <c r="J28" s="6"/>
      <c r="K28" s="6"/>
    </row>
    <row r="29" ht="15.75" customHeight="1">
      <c r="A29" s="7">
        <v>25.0</v>
      </c>
      <c r="B29" s="6"/>
      <c r="C29" s="7"/>
      <c r="D29" s="7"/>
      <c r="E29" s="6"/>
      <c r="F29" s="6"/>
      <c r="G29" s="6"/>
      <c r="H29" s="6"/>
      <c r="I29" s="6"/>
      <c r="J29" s="6"/>
      <c r="K29" s="6"/>
    </row>
    <row r="30" ht="15.75" customHeight="1">
      <c r="A30" s="7" t="s">
        <v>85</v>
      </c>
      <c r="B30" s="6" t="s">
        <v>86</v>
      </c>
      <c r="C30" s="6">
        <v>501.0</v>
      </c>
      <c r="D30" s="6" t="s">
        <v>26</v>
      </c>
      <c r="E30" s="4" t="s">
        <v>87</v>
      </c>
      <c r="F30" s="6"/>
      <c r="G30" s="6"/>
      <c r="H30" s="6"/>
      <c r="I30" s="6"/>
      <c r="J30" s="6"/>
      <c r="K30" s="6"/>
    </row>
    <row r="31" ht="15.75" customHeight="1">
      <c r="A31" s="7" t="s">
        <v>85</v>
      </c>
      <c r="B31" s="6" t="s">
        <v>88</v>
      </c>
      <c r="C31" s="6">
        <v>500.0</v>
      </c>
      <c r="D31" s="6" t="s">
        <v>26</v>
      </c>
      <c r="E31" s="6" t="s">
        <v>89</v>
      </c>
      <c r="F31" s="6">
        <v>500.0</v>
      </c>
      <c r="G31" s="6" t="s">
        <v>26</v>
      </c>
      <c r="H31" s="6"/>
      <c r="I31" s="6"/>
      <c r="J31" s="6"/>
      <c r="K31" s="6"/>
    </row>
    <row r="32" ht="15.75" customHeight="1">
      <c r="A32" s="7" t="s">
        <v>85</v>
      </c>
      <c r="B32" s="6" t="s">
        <v>90</v>
      </c>
      <c r="C32" s="6">
        <v>501.0</v>
      </c>
      <c r="D32" s="6" t="s">
        <v>63</v>
      </c>
      <c r="E32" s="6" t="s">
        <v>91</v>
      </c>
      <c r="F32" s="6">
        <v>1000.0</v>
      </c>
      <c r="G32" s="6" t="s">
        <v>63</v>
      </c>
      <c r="H32" s="6"/>
      <c r="I32" s="6"/>
      <c r="J32" s="6"/>
      <c r="K32" s="6"/>
    </row>
    <row r="33" ht="15.75" customHeight="1">
      <c r="A33" s="6"/>
      <c r="B33" s="4" t="s">
        <v>8</v>
      </c>
      <c r="C33" s="5" t="str">
        <f>SUM(C5:C32)</f>
        <v>7873</v>
      </c>
      <c r="D33" s="5"/>
      <c r="E33" s="6"/>
      <c r="F33" s="5" t="str">
        <f>SUM(F5:F32)</f>
        <v>4205</v>
      </c>
      <c r="G33" s="5"/>
      <c r="H33" s="6"/>
      <c r="I33" s="5" t="str">
        <f>SUM(I5:I32)</f>
        <v>3506</v>
      </c>
      <c r="J33" s="5"/>
      <c r="K33" s="5"/>
    </row>
    <row r="34" ht="15.75" customHeight="1">
      <c r="A34" s="6"/>
      <c r="B34" s="4" t="s">
        <v>92</v>
      </c>
      <c r="C34" s="5" t="str">
        <f>C33+F33+I33</f>
        <v>15584</v>
      </c>
      <c r="D34" s="5"/>
      <c r="E34" s="6"/>
      <c r="F34" s="6"/>
      <c r="G34" s="6"/>
      <c r="H34" s="6"/>
      <c r="I34" s="6"/>
      <c r="J34" s="6"/>
      <c r="K34" s="6"/>
    </row>
    <row r="35" ht="15.75" customHeight="1"/>
    <row r="36" ht="15.75" customHeight="1">
      <c r="B36" t="s">
        <v>29</v>
      </c>
      <c r="C36" s="10" t="str">
        <f>C12+C32+C16+C19+C25</f>
        <v>2204</v>
      </c>
      <c r="F36" s="10" t="str">
        <f>F27+F32</f>
        <v>1501</v>
      </c>
      <c r="I36" s="10" t="str">
        <f>I11+I12+I16+I17</f>
        <v>2004</v>
      </c>
    </row>
    <row r="37" ht="15.75" customHeight="1">
      <c r="B37" t="s">
        <v>26</v>
      </c>
      <c r="C37" s="10" t="str">
        <f>C6+C8+C15+C20+C26+C27+C28+C30+C31+C22</f>
        <v>5669</v>
      </c>
      <c r="F37" s="10" t="str">
        <f>F6+F8+F15+F23+F25+F31</f>
        <v>2704</v>
      </c>
      <c r="I37" s="10" t="str">
        <f>I18+I25+I27</f>
        <v>1502</v>
      </c>
    </row>
    <row r="38" ht="15.75" customHeight="1">
      <c r="B38" t="s">
        <v>50</v>
      </c>
      <c r="C38" t="str">
        <f>C36+C37</f>
        <v>7873</v>
      </c>
      <c r="F38" t="str">
        <f>F36+F37</f>
        <v>4205</v>
      </c>
      <c r="I38" t="str">
        <f>I36+I37</f>
        <v>3506</v>
      </c>
    </row>
    <row r="39" ht="15.75" customHeight="1"/>
    <row r="40" ht="15.75" customHeight="1">
      <c r="B40" t="s">
        <v>93</v>
      </c>
      <c r="C40" t="str">
        <f>C41+C42</f>
        <v>15584</v>
      </c>
    </row>
    <row r="41" ht="15.75" customHeight="1">
      <c r="B41" t="s">
        <v>29</v>
      </c>
      <c r="C41" t="str">
        <f t="shared" ref="C41:C42" si="1">C36+F36+I36</f>
        <v>5709</v>
      </c>
    </row>
    <row r="42" ht="15.75" customHeight="1">
      <c r="B42" t="s">
        <v>26</v>
      </c>
      <c r="C42" t="str">
        <f t="shared" si="1"/>
        <v>9875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4:$K$34"/>
  <mergeCells count="5">
    <mergeCell ref="A1:I1"/>
    <mergeCell ref="A2:K2"/>
    <mergeCell ref="B3:C3"/>
    <mergeCell ref="E3:F3"/>
    <mergeCell ref="H3:I3"/>
  </mergeCells>
  <printOptions/>
  <pageMargins bottom="0.751388888888889" footer="0.0" header="0.0" left="0.700694444444445" right="0.700694444444445" top="0.751388888888889"/>
  <pageSetup fitToHeight="0"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88"/>
  </cols>
  <sheetData>
    <row r="2">
      <c r="A2" s="4" t="s">
        <v>94</v>
      </c>
      <c r="B2" s="16" t="s">
        <v>95</v>
      </c>
      <c r="C2" s="17" t="s">
        <v>96</v>
      </c>
      <c r="D2" s="16" t="s">
        <v>95</v>
      </c>
      <c r="E2" s="17" t="s">
        <v>96</v>
      </c>
      <c r="F2" s="16" t="s">
        <v>95</v>
      </c>
      <c r="G2" s="17" t="s">
        <v>96</v>
      </c>
      <c r="H2" s="4" t="s">
        <v>97</v>
      </c>
      <c r="I2" s="4" t="s">
        <v>98</v>
      </c>
      <c r="J2" s="18" t="s">
        <v>99</v>
      </c>
    </row>
    <row r="3">
      <c r="A3" s="7">
        <v>1.0</v>
      </c>
      <c r="B3" s="6"/>
      <c r="C3" s="7"/>
      <c r="D3" s="6"/>
      <c r="E3" s="6"/>
      <c r="F3" s="6"/>
      <c r="G3" s="6"/>
      <c r="H3" s="6"/>
      <c r="I3" s="6" t="s">
        <v>100</v>
      </c>
      <c r="J3" t="s">
        <v>101</v>
      </c>
    </row>
    <row r="4">
      <c r="A4" s="7">
        <v>2.0</v>
      </c>
      <c r="B4" s="6"/>
      <c r="C4" s="7"/>
      <c r="D4" s="6"/>
      <c r="E4" s="6"/>
      <c r="F4" s="6"/>
      <c r="G4" s="6"/>
      <c r="H4" s="6"/>
      <c r="I4" s="6" t="s">
        <v>102</v>
      </c>
      <c r="J4" t="s">
        <v>101</v>
      </c>
    </row>
    <row r="5">
      <c r="A5" s="7">
        <v>3.0</v>
      </c>
      <c r="B5" s="6"/>
      <c r="C5" s="7"/>
      <c r="D5" s="6"/>
      <c r="E5" s="6"/>
      <c r="F5" s="6"/>
      <c r="G5" s="6"/>
      <c r="H5" s="6"/>
      <c r="I5" s="6" t="s">
        <v>103</v>
      </c>
      <c r="J5" t="s">
        <v>101</v>
      </c>
    </row>
    <row r="6">
      <c r="A6" s="7">
        <v>4.0</v>
      </c>
      <c r="B6" s="6"/>
      <c r="C6" s="7"/>
      <c r="D6" s="6"/>
      <c r="E6" s="6"/>
      <c r="F6" s="6"/>
      <c r="G6" s="6"/>
      <c r="H6" s="6"/>
      <c r="I6" s="6" t="s">
        <v>104</v>
      </c>
      <c r="J6" t="s">
        <v>101</v>
      </c>
    </row>
    <row r="7">
      <c r="A7" s="7">
        <v>5.0</v>
      </c>
      <c r="B7" s="6"/>
      <c r="C7" s="7"/>
      <c r="D7" s="6"/>
      <c r="E7" s="6"/>
      <c r="F7" s="6"/>
      <c r="G7" s="6"/>
      <c r="H7" s="6"/>
      <c r="I7" s="6" t="s">
        <v>105</v>
      </c>
      <c r="J7" t="s">
        <v>101</v>
      </c>
    </row>
    <row r="8">
      <c r="A8" s="7">
        <v>6.0</v>
      </c>
      <c r="B8" s="6"/>
      <c r="C8" s="7"/>
      <c r="D8" s="6"/>
      <c r="E8" s="6"/>
      <c r="F8" s="6"/>
      <c r="G8" s="6"/>
      <c r="H8" s="6"/>
      <c r="I8" s="6" t="s">
        <v>106</v>
      </c>
      <c r="J8" t="s">
        <v>101</v>
      </c>
    </row>
    <row r="9">
      <c r="A9" s="7">
        <v>7.0</v>
      </c>
      <c r="B9" s="6"/>
      <c r="C9" s="7"/>
      <c r="D9" s="6"/>
      <c r="E9" s="6"/>
      <c r="F9" s="6"/>
      <c r="G9" s="6"/>
      <c r="H9" s="6"/>
      <c r="I9" s="6" t="s">
        <v>107</v>
      </c>
      <c r="J9" t="s">
        <v>101</v>
      </c>
    </row>
    <row r="10">
      <c r="A10" s="7">
        <v>8.0</v>
      </c>
      <c r="B10" s="6"/>
      <c r="C10" s="7"/>
      <c r="D10" s="6"/>
      <c r="E10" s="6"/>
      <c r="F10" s="6"/>
      <c r="G10" s="6"/>
      <c r="H10" s="6"/>
      <c r="I10" s="6" t="s">
        <v>108</v>
      </c>
      <c r="J10" t="s">
        <v>101</v>
      </c>
    </row>
    <row r="11">
      <c r="A11" s="7">
        <v>9.0</v>
      </c>
      <c r="B11" s="6"/>
      <c r="C11" s="7"/>
      <c r="D11" s="6"/>
      <c r="E11" s="6"/>
      <c r="F11" s="6"/>
      <c r="G11" s="6"/>
      <c r="H11" s="6"/>
      <c r="I11" s="6" t="s">
        <v>109</v>
      </c>
      <c r="J11" t="s">
        <v>101</v>
      </c>
    </row>
    <row r="12">
      <c r="A12" s="7">
        <v>10.0</v>
      </c>
      <c r="B12" s="6"/>
      <c r="C12" s="7"/>
      <c r="D12" s="6"/>
      <c r="E12" s="6"/>
      <c r="F12" s="6"/>
      <c r="G12" s="6"/>
      <c r="H12" s="6"/>
      <c r="I12" s="6" t="s">
        <v>110</v>
      </c>
      <c r="J12" t="s">
        <v>101</v>
      </c>
    </row>
    <row r="13">
      <c r="A13" s="7">
        <v>11.0</v>
      </c>
      <c r="B13" s="6"/>
      <c r="C13" s="7"/>
      <c r="D13" s="6"/>
      <c r="E13" s="6"/>
      <c r="F13" s="6"/>
      <c r="G13" s="6"/>
      <c r="H13" s="6"/>
      <c r="I13" s="6" t="s">
        <v>111</v>
      </c>
      <c r="J13" t="s">
        <v>101</v>
      </c>
    </row>
    <row r="14">
      <c r="A14" s="7">
        <v>12.0</v>
      </c>
      <c r="B14" s="6"/>
      <c r="C14" s="7"/>
      <c r="D14" s="6"/>
      <c r="E14" s="6"/>
      <c r="F14" s="6"/>
      <c r="G14" s="6"/>
      <c r="H14" s="6"/>
      <c r="I14" s="6" t="s">
        <v>112</v>
      </c>
      <c r="J14" t="s">
        <v>101</v>
      </c>
    </row>
    <row r="15">
      <c r="A15" s="7">
        <v>13.0</v>
      </c>
      <c r="B15" s="6"/>
      <c r="C15" s="7"/>
      <c r="D15" s="6"/>
      <c r="E15" s="6"/>
      <c r="F15" s="6"/>
      <c r="G15" s="6"/>
      <c r="H15" s="6"/>
      <c r="I15" s="6" t="s">
        <v>113</v>
      </c>
      <c r="J15" t="s">
        <v>101</v>
      </c>
    </row>
    <row r="16">
      <c r="A16" s="7">
        <v>14.0</v>
      </c>
      <c r="B16" s="6"/>
      <c r="C16" s="7"/>
      <c r="D16" s="6"/>
      <c r="E16" s="6"/>
      <c r="F16" s="6"/>
      <c r="G16" s="6"/>
      <c r="H16" s="6"/>
      <c r="I16" s="6" t="s">
        <v>114</v>
      </c>
      <c r="J16" t="s">
        <v>101</v>
      </c>
    </row>
    <row r="17">
      <c r="A17" s="7">
        <v>15.0</v>
      </c>
      <c r="B17" s="6"/>
      <c r="C17" s="7"/>
      <c r="D17" s="6"/>
      <c r="E17" s="6"/>
      <c r="F17" s="6"/>
      <c r="G17" s="6"/>
      <c r="H17" s="6"/>
      <c r="I17" s="6" t="s">
        <v>115</v>
      </c>
      <c r="J17" t="s">
        <v>101</v>
      </c>
    </row>
    <row r="18">
      <c r="A18" s="7">
        <v>16.0</v>
      </c>
      <c r="B18" s="6"/>
      <c r="C18" s="7"/>
      <c r="D18" s="6"/>
      <c r="E18" s="6"/>
      <c r="F18" s="6"/>
      <c r="G18" s="6"/>
      <c r="H18" s="6"/>
      <c r="I18" s="6" t="s">
        <v>116</v>
      </c>
      <c r="J18" t="s">
        <v>101</v>
      </c>
    </row>
    <row r="19">
      <c r="A19" s="7">
        <v>17.0</v>
      </c>
      <c r="B19" s="6"/>
      <c r="C19" s="7"/>
      <c r="D19" s="6"/>
      <c r="E19" s="6"/>
      <c r="F19" s="6"/>
      <c r="G19" s="6"/>
      <c r="H19" s="6"/>
      <c r="I19" s="6" t="s">
        <v>117</v>
      </c>
      <c r="J19" t="s">
        <v>101</v>
      </c>
    </row>
    <row r="20">
      <c r="A20" s="7">
        <v>18.0</v>
      </c>
      <c r="B20" s="6"/>
      <c r="C20" s="7"/>
      <c r="D20" s="6"/>
      <c r="E20" s="6"/>
      <c r="F20" s="6"/>
      <c r="G20" s="6"/>
      <c r="H20" s="6"/>
      <c r="I20" s="6" t="s">
        <v>118</v>
      </c>
      <c r="J20" t="s">
        <v>101</v>
      </c>
    </row>
    <row r="21" ht="15.75" customHeight="1">
      <c r="A21" s="7">
        <v>19.0</v>
      </c>
      <c r="B21" s="6"/>
      <c r="C21" s="7"/>
      <c r="D21" s="6"/>
      <c r="E21" s="6"/>
      <c r="F21" s="6"/>
      <c r="G21" s="6"/>
      <c r="H21" s="6"/>
      <c r="I21" s="6" t="s">
        <v>119</v>
      </c>
      <c r="J21" t="s">
        <v>101</v>
      </c>
    </row>
    <row r="22" ht="15.75" customHeight="1">
      <c r="A22" s="7">
        <v>20.0</v>
      </c>
      <c r="B22" s="6"/>
      <c r="C22" s="7"/>
      <c r="D22" s="6"/>
      <c r="E22" s="6"/>
      <c r="F22" s="6"/>
      <c r="G22" s="6"/>
      <c r="H22" s="6"/>
      <c r="I22" s="6" t="s">
        <v>120</v>
      </c>
      <c r="J22" t="s">
        <v>101</v>
      </c>
    </row>
    <row r="23" ht="15.75" customHeight="1">
      <c r="A23" s="7">
        <v>21.0</v>
      </c>
      <c r="B23" s="6"/>
      <c r="C23" s="7"/>
      <c r="D23" s="6"/>
      <c r="E23" s="6"/>
      <c r="F23" s="6"/>
      <c r="G23" s="6"/>
      <c r="H23" s="6"/>
      <c r="I23" s="6" t="s">
        <v>121</v>
      </c>
      <c r="J23" t="s">
        <v>101</v>
      </c>
    </row>
    <row r="24" ht="15.75" customHeight="1">
      <c r="A24" s="7">
        <v>22.0</v>
      </c>
      <c r="B24" s="6"/>
      <c r="C24" s="7"/>
      <c r="D24" s="6"/>
      <c r="E24" s="6"/>
      <c r="F24" s="6"/>
      <c r="G24" s="6"/>
      <c r="H24" s="6"/>
      <c r="I24" s="6" t="s">
        <v>122</v>
      </c>
      <c r="J24" t="s">
        <v>101</v>
      </c>
    </row>
    <row r="25" ht="15.75" customHeight="1">
      <c r="A25" s="7">
        <v>23.0</v>
      </c>
      <c r="B25" s="6"/>
      <c r="C25" s="7"/>
      <c r="D25" s="6"/>
      <c r="E25" s="6"/>
      <c r="F25" s="6"/>
      <c r="G25" s="6"/>
      <c r="H25" s="6"/>
      <c r="I25" s="6" t="s">
        <v>123</v>
      </c>
      <c r="J25" t="s">
        <v>101</v>
      </c>
    </row>
    <row r="26" ht="15.75" customHeight="1">
      <c r="A26" s="7">
        <v>24.0</v>
      </c>
      <c r="B26" s="6"/>
      <c r="C26" s="7"/>
      <c r="D26" s="6"/>
      <c r="E26" s="6"/>
      <c r="F26" s="6"/>
      <c r="G26" s="6"/>
      <c r="H26" s="6"/>
      <c r="I26" s="6" t="s">
        <v>124</v>
      </c>
      <c r="J26" t="s">
        <v>101</v>
      </c>
    </row>
    <row r="27" ht="15.75" customHeight="1">
      <c r="A27" s="7">
        <v>25.0</v>
      </c>
      <c r="B27" s="6"/>
      <c r="C27" s="7"/>
      <c r="D27" s="6"/>
      <c r="E27" s="6"/>
      <c r="F27" s="6"/>
      <c r="G27" s="6"/>
      <c r="H27" s="6"/>
      <c r="I27" s="6" t="s">
        <v>125</v>
      </c>
      <c r="J27" t="s">
        <v>101</v>
      </c>
    </row>
    <row r="28" ht="15.75" customHeight="1">
      <c r="A28" s="7">
        <v>26.0</v>
      </c>
      <c r="B28" s="6"/>
      <c r="C28" s="7"/>
      <c r="D28" s="6"/>
      <c r="E28" s="6"/>
      <c r="F28" s="6"/>
      <c r="G28" s="6"/>
      <c r="H28" s="6"/>
      <c r="I28" s="6" t="s">
        <v>126</v>
      </c>
      <c r="J28" t="s">
        <v>127</v>
      </c>
    </row>
    <row r="29" ht="15.75" customHeight="1">
      <c r="A29" s="7">
        <v>27.0</v>
      </c>
      <c r="B29" s="6"/>
      <c r="C29" s="6"/>
      <c r="D29" s="6"/>
      <c r="E29" s="6"/>
      <c r="F29" s="6"/>
      <c r="G29" s="6"/>
      <c r="H29" s="6"/>
      <c r="I29" s="6" t="s">
        <v>128</v>
      </c>
      <c r="J29" t="s">
        <v>127</v>
      </c>
    </row>
    <row r="30" ht="15.75" customHeight="1">
      <c r="A30" s="7">
        <v>28.0</v>
      </c>
      <c r="B30" s="6"/>
      <c r="C30" s="6"/>
      <c r="D30" s="6"/>
      <c r="E30" s="6"/>
      <c r="F30" s="6"/>
      <c r="G30" s="6"/>
      <c r="H30" s="6"/>
      <c r="I30" s="6" t="s">
        <v>129</v>
      </c>
      <c r="J30" t="s">
        <v>127</v>
      </c>
    </row>
    <row r="31" ht="15.75" customHeight="1">
      <c r="A31" s="7">
        <v>29.0</v>
      </c>
      <c r="B31" s="6"/>
      <c r="C31" s="6"/>
      <c r="D31" s="6"/>
      <c r="E31" s="6"/>
      <c r="F31" s="6"/>
      <c r="G31" s="6"/>
      <c r="H31" s="6"/>
      <c r="I31" s="6" t="s">
        <v>130</v>
      </c>
      <c r="J31" t="s">
        <v>127</v>
      </c>
    </row>
    <row r="32" ht="15.75" customHeight="1">
      <c r="A32" s="7">
        <v>30.0</v>
      </c>
      <c r="B32" s="6"/>
      <c r="C32" s="6"/>
      <c r="D32" s="6"/>
      <c r="E32" s="6"/>
      <c r="F32" s="6"/>
      <c r="G32" s="6"/>
      <c r="H32" s="6"/>
      <c r="I32" s="6" t="s">
        <v>131</v>
      </c>
      <c r="J32" t="s">
        <v>127</v>
      </c>
    </row>
    <row r="33" ht="15.75" customHeight="1">
      <c r="A33" s="7">
        <v>31.0</v>
      </c>
      <c r="B33" s="6"/>
      <c r="C33" s="6"/>
      <c r="D33" s="6"/>
      <c r="E33" s="6"/>
      <c r="F33" s="6"/>
      <c r="G33" s="6"/>
      <c r="H33" s="6"/>
      <c r="I33" s="6" t="s">
        <v>132</v>
      </c>
      <c r="J33" t="s">
        <v>127</v>
      </c>
    </row>
    <row r="34" ht="15.75" customHeight="1">
      <c r="A34" s="7">
        <v>32.0</v>
      </c>
      <c r="B34" s="6"/>
      <c r="C34" s="6"/>
      <c r="D34" s="6"/>
      <c r="E34" s="6"/>
      <c r="F34" s="6"/>
      <c r="G34" s="6"/>
      <c r="H34" s="6"/>
      <c r="I34" s="6" t="s">
        <v>133</v>
      </c>
      <c r="J34" t="s">
        <v>127</v>
      </c>
    </row>
    <row r="35" ht="15.75" customHeight="1">
      <c r="A35" s="7">
        <v>33.0</v>
      </c>
      <c r="B35" s="6"/>
      <c r="C35" s="6"/>
      <c r="D35" s="6"/>
      <c r="E35" s="6"/>
      <c r="F35" s="6"/>
      <c r="G35" s="6"/>
      <c r="H35" s="6"/>
      <c r="I35" s="6" t="s">
        <v>134</v>
      </c>
      <c r="J35" t="s">
        <v>127</v>
      </c>
    </row>
    <row r="36" ht="15.75" customHeight="1">
      <c r="A36" s="7">
        <v>34.0</v>
      </c>
      <c r="B36" s="6"/>
      <c r="C36" s="6"/>
      <c r="D36" s="6"/>
      <c r="E36" s="6"/>
      <c r="F36" s="6"/>
      <c r="G36" s="6"/>
      <c r="H36" s="6"/>
      <c r="I36" s="6" t="s">
        <v>135</v>
      </c>
      <c r="J36" t="s">
        <v>127</v>
      </c>
    </row>
    <row r="37" ht="15.75" customHeight="1">
      <c r="A37" s="7">
        <v>35.0</v>
      </c>
      <c r="B37" s="6"/>
      <c r="C37" s="6"/>
      <c r="D37" s="6"/>
      <c r="E37" s="6"/>
      <c r="F37" s="6"/>
      <c r="G37" s="6"/>
      <c r="H37" s="6"/>
      <c r="I37" s="6" t="s">
        <v>136</v>
      </c>
      <c r="J37" t="s">
        <v>127</v>
      </c>
    </row>
    <row r="38" ht="15.75" customHeight="1">
      <c r="A38" s="7">
        <v>36.0</v>
      </c>
      <c r="B38" s="6"/>
      <c r="C38" s="6"/>
      <c r="D38" s="6"/>
      <c r="E38" s="6"/>
      <c r="F38" s="6"/>
      <c r="G38" s="6"/>
      <c r="H38" s="6"/>
      <c r="I38" s="6" t="s">
        <v>137</v>
      </c>
      <c r="J38" t="s">
        <v>127</v>
      </c>
    </row>
    <row r="39" ht="15.75" customHeight="1">
      <c r="A39" s="7">
        <v>37.0</v>
      </c>
      <c r="B39" s="6"/>
      <c r="C39" s="6"/>
      <c r="D39" s="6"/>
      <c r="E39" s="6"/>
      <c r="F39" s="6"/>
      <c r="G39" s="6"/>
      <c r="H39" s="6"/>
      <c r="I39" s="6" t="s">
        <v>138</v>
      </c>
      <c r="J39" t="s">
        <v>127</v>
      </c>
    </row>
    <row r="40" ht="15.75" customHeight="1">
      <c r="A40" s="7">
        <v>38.0</v>
      </c>
      <c r="B40" s="6"/>
      <c r="C40" s="6"/>
      <c r="D40" s="6"/>
      <c r="E40" s="6"/>
      <c r="F40" s="6"/>
      <c r="G40" s="6"/>
      <c r="H40" s="6"/>
      <c r="I40" s="6" t="s">
        <v>139</v>
      </c>
      <c r="J40" t="s">
        <v>127</v>
      </c>
    </row>
    <row r="41" ht="15.75" customHeight="1">
      <c r="A41" s="7">
        <v>39.0</v>
      </c>
      <c r="B41" s="6"/>
      <c r="C41" s="6"/>
      <c r="D41" s="6"/>
      <c r="E41" s="6"/>
      <c r="F41" s="6"/>
      <c r="G41" s="6"/>
      <c r="H41" s="6"/>
      <c r="I41" s="6" t="s">
        <v>140</v>
      </c>
      <c r="J41" t="s">
        <v>127</v>
      </c>
    </row>
    <row r="42" ht="15.75" customHeight="1">
      <c r="A42" s="7">
        <v>40.0</v>
      </c>
      <c r="B42" s="6"/>
      <c r="C42" s="6"/>
      <c r="D42" s="6"/>
      <c r="E42" s="6"/>
      <c r="F42" s="6"/>
      <c r="G42" s="6"/>
      <c r="H42" s="6"/>
      <c r="I42" s="6" t="s">
        <v>141</v>
      </c>
      <c r="J42" t="s">
        <v>127</v>
      </c>
    </row>
    <row r="43" ht="15.75" customHeight="1">
      <c r="A43" s="7">
        <v>41.0</v>
      </c>
      <c r="B43" s="6"/>
      <c r="C43" s="6"/>
      <c r="D43" s="6"/>
      <c r="E43" s="6"/>
      <c r="F43" s="6"/>
      <c r="G43" s="6"/>
      <c r="H43" s="6"/>
      <c r="I43" s="6" t="s">
        <v>142</v>
      </c>
      <c r="J43" t="s">
        <v>127</v>
      </c>
    </row>
    <row r="44" ht="15.75" customHeight="1">
      <c r="A44" s="7">
        <v>42.0</v>
      </c>
      <c r="B44" s="6"/>
      <c r="C44" s="6"/>
      <c r="D44" s="6"/>
      <c r="E44" s="6"/>
      <c r="F44" s="6"/>
      <c r="G44" s="6"/>
      <c r="H44" s="6"/>
      <c r="I44" s="6" t="s">
        <v>143</v>
      </c>
      <c r="J44" t="s">
        <v>127</v>
      </c>
    </row>
    <row r="45" ht="15.75" customHeight="1">
      <c r="A45" s="7">
        <v>43.0</v>
      </c>
      <c r="B45" s="6"/>
      <c r="C45" s="6"/>
      <c r="D45" s="6"/>
      <c r="E45" s="6"/>
      <c r="F45" s="6"/>
      <c r="G45" s="6"/>
      <c r="H45" s="6"/>
      <c r="I45" s="6" t="s">
        <v>144</v>
      </c>
      <c r="J45" t="s">
        <v>127</v>
      </c>
    </row>
    <row r="46" ht="15.75" customHeight="1">
      <c r="A46" s="7">
        <v>44.0</v>
      </c>
      <c r="B46" s="6"/>
      <c r="C46" s="6"/>
      <c r="D46" s="6"/>
      <c r="E46" s="6"/>
      <c r="F46" s="6"/>
      <c r="G46" s="6"/>
      <c r="H46" s="6"/>
      <c r="I46" s="6" t="s">
        <v>145</v>
      </c>
      <c r="J46" t="s">
        <v>127</v>
      </c>
    </row>
    <row r="47" ht="15.75" customHeight="1">
      <c r="A47" s="7">
        <v>45.0</v>
      </c>
      <c r="B47" s="6"/>
      <c r="C47" s="6"/>
      <c r="D47" s="6"/>
      <c r="E47" s="6"/>
      <c r="F47" s="6"/>
      <c r="G47" s="6"/>
      <c r="H47" s="6"/>
      <c r="I47" s="6" t="s">
        <v>146</v>
      </c>
      <c r="J47" t="s">
        <v>127</v>
      </c>
    </row>
    <row r="48" ht="15.75" customHeight="1">
      <c r="A48" s="7">
        <v>46.0</v>
      </c>
      <c r="B48" s="6"/>
      <c r="C48" s="6"/>
      <c r="D48" s="6"/>
      <c r="E48" s="6"/>
      <c r="F48" s="6"/>
      <c r="G48" s="6"/>
      <c r="H48" s="6"/>
      <c r="I48" s="6" t="s">
        <v>147</v>
      </c>
      <c r="J48" t="s">
        <v>127</v>
      </c>
    </row>
    <row r="49" ht="15.75" customHeight="1">
      <c r="A49" s="7">
        <v>47.0</v>
      </c>
      <c r="B49" s="6"/>
      <c r="C49" s="6"/>
      <c r="D49" s="6"/>
      <c r="E49" s="6"/>
      <c r="F49" s="6"/>
      <c r="G49" s="6"/>
      <c r="H49" s="6"/>
      <c r="I49" s="6" t="s">
        <v>148</v>
      </c>
      <c r="J49" t="s">
        <v>127</v>
      </c>
    </row>
    <row r="50" ht="15.75" customHeight="1">
      <c r="A50" s="7">
        <v>48.0</v>
      </c>
      <c r="B50" s="6"/>
      <c r="C50" s="6"/>
      <c r="D50" s="6"/>
      <c r="E50" s="6"/>
      <c r="F50" s="6"/>
      <c r="G50" s="6"/>
      <c r="H50" s="6"/>
      <c r="I50" s="6" t="s">
        <v>149</v>
      </c>
      <c r="J50" t="s">
        <v>127</v>
      </c>
    </row>
    <row r="51" ht="15.75" customHeight="1">
      <c r="A51" s="7">
        <v>49.0</v>
      </c>
      <c r="B51" s="6"/>
      <c r="C51" s="6"/>
      <c r="D51" s="6"/>
      <c r="E51" s="6"/>
      <c r="F51" s="6"/>
      <c r="G51" s="6"/>
      <c r="H51" s="6"/>
      <c r="I51" s="6" t="s">
        <v>150</v>
      </c>
      <c r="J51" t="s">
        <v>127</v>
      </c>
    </row>
    <row r="52" ht="15.75" customHeight="1">
      <c r="A52" s="7">
        <v>50.0</v>
      </c>
      <c r="B52" s="6"/>
      <c r="C52" s="6"/>
      <c r="D52" s="6"/>
      <c r="E52" s="6"/>
      <c r="F52" s="6"/>
      <c r="G52" s="6"/>
      <c r="H52" s="6"/>
      <c r="I52" s="6" t="s">
        <v>151</v>
      </c>
      <c r="J52" t="s">
        <v>127</v>
      </c>
    </row>
    <row r="53" ht="15.75" customHeight="1">
      <c r="A53" s="7">
        <v>51.0</v>
      </c>
      <c r="B53" s="6"/>
      <c r="C53" s="6"/>
      <c r="D53" s="6"/>
      <c r="E53" s="6"/>
      <c r="F53" s="6"/>
      <c r="G53" s="6"/>
      <c r="H53" s="6"/>
      <c r="I53" s="6" t="s">
        <v>152</v>
      </c>
      <c r="J53" t="s">
        <v>153</v>
      </c>
    </row>
    <row r="54" ht="15.75" customHeight="1">
      <c r="A54" s="7">
        <v>52.0</v>
      </c>
      <c r="B54" s="6"/>
      <c r="C54" s="6"/>
      <c r="D54" s="6"/>
      <c r="E54" s="6"/>
      <c r="F54" s="6"/>
      <c r="G54" s="6"/>
      <c r="H54" s="6"/>
      <c r="I54" s="6" t="s">
        <v>154</v>
      </c>
      <c r="J54" t="s">
        <v>153</v>
      </c>
    </row>
    <row r="55" ht="15.75" customHeight="1">
      <c r="A55" s="7">
        <v>53.0</v>
      </c>
      <c r="B55" s="6"/>
      <c r="C55" s="6"/>
      <c r="D55" s="6"/>
      <c r="E55" s="6"/>
      <c r="F55" s="6"/>
      <c r="G55" s="6"/>
      <c r="H55" s="6"/>
      <c r="I55" s="6" t="s">
        <v>155</v>
      </c>
      <c r="J55" t="s">
        <v>153</v>
      </c>
    </row>
    <row r="56" ht="15.75" customHeight="1">
      <c r="A56" s="7">
        <v>54.0</v>
      </c>
      <c r="B56" s="6"/>
      <c r="C56" s="6"/>
      <c r="D56" s="6"/>
      <c r="E56" s="6"/>
      <c r="F56" s="6"/>
      <c r="G56" s="6"/>
      <c r="H56" s="6"/>
      <c r="I56" s="6" t="s">
        <v>156</v>
      </c>
      <c r="J56" t="s">
        <v>153</v>
      </c>
    </row>
    <row r="57" ht="15.75" customHeight="1">
      <c r="A57" s="7">
        <v>55.0</v>
      </c>
      <c r="B57" s="6"/>
      <c r="C57" s="6"/>
      <c r="D57" s="6"/>
      <c r="E57" s="6"/>
      <c r="F57" s="6"/>
      <c r="G57" s="6"/>
      <c r="H57" s="6"/>
      <c r="I57" s="6" t="s">
        <v>157</v>
      </c>
      <c r="J57" t="s">
        <v>153</v>
      </c>
    </row>
    <row r="58" ht="15.75" customHeight="1">
      <c r="A58" s="7">
        <v>56.0</v>
      </c>
      <c r="B58" s="6"/>
      <c r="C58" s="6"/>
      <c r="D58" s="6"/>
      <c r="E58" s="6"/>
      <c r="F58" s="6"/>
      <c r="G58" s="6"/>
      <c r="H58" s="6"/>
      <c r="I58" s="6" t="s">
        <v>158</v>
      </c>
      <c r="J58" t="s">
        <v>153</v>
      </c>
    </row>
    <row r="59" ht="15.75" customHeight="1">
      <c r="A59" s="7">
        <v>57.0</v>
      </c>
      <c r="B59" s="6"/>
      <c r="C59" s="6"/>
      <c r="D59" s="6"/>
      <c r="E59" s="6"/>
      <c r="F59" s="6"/>
      <c r="G59" s="6"/>
      <c r="H59" s="6"/>
      <c r="I59" s="6" t="s">
        <v>159</v>
      </c>
      <c r="J59" t="s">
        <v>153</v>
      </c>
    </row>
    <row r="60" ht="15.75" customHeight="1">
      <c r="A60" s="7">
        <v>58.0</v>
      </c>
      <c r="B60" s="6"/>
      <c r="C60" s="6"/>
      <c r="D60" s="6"/>
      <c r="E60" s="6"/>
      <c r="F60" s="6"/>
      <c r="G60" s="6"/>
      <c r="H60" s="6"/>
      <c r="I60" s="6" t="s">
        <v>160</v>
      </c>
      <c r="J60" t="s">
        <v>153</v>
      </c>
    </row>
    <row r="61" ht="15.75" customHeight="1">
      <c r="A61" s="7">
        <v>59.0</v>
      </c>
      <c r="B61" s="6"/>
      <c r="C61" s="6"/>
      <c r="D61" s="6"/>
      <c r="E61" s="6"/>
      <c r="F61" s="6"/>
      <c r="G61" s="6"/>
      <c r="H61" s="6"/>
      <c r="I61" s="6" t="s">
        <v>161</v>
      </c>
      <c r="J61" t="s">
        <v>153</v>
      </c>
    </row>
    <row r="62" ht="15.75" customHeight="1">
      <c r="A62" s="7">
        <v>60.0</v>
      </c>
      <c r="B62" s="6"/>
      <c r="C62" s="6"/>
      <c r="D62" s="6"/>
      <c r="E62" s="6"/>
      <c r="F62" s="6"/>
      <c r="G62" s="6"/>
      <c r="H62" s="6"/>
      <c r="I62" s="6" t="s">
        <v>162</v>
      </c>
      <c r="J62" t="s">
        <v>153</v>
      </c>
    </row>
    <row r="63" ht="15.75" customHeight="1">
      <c r="A63" s="7">
        <v>61.0</v>
      </c>
      <c r="B63" s="6"/>
      <c r="C63" s="6"/>
      <c r="D63" s="6"/>
      <c r="E63" s="6"/>
      <c r="F63" s="6"/>
      <c r="G63" s="6"/>
      <c r="H63" s="6"/>
      <c r="I63" s="6" t="s">
        <v>163</v>
      </c>
      <c r="J63" t="s">
        <v>153</v>
      </c>
    </row>
    <row r="64" ht="15.75" customHeight="1">
      <c r="A64" s="7">
        <v>62.0</v>
      </c>
      <c r="B64" s="6"/>
      <c r="C64" s="6"/>
      <c r="D64" s="6"/>
      <c r="E64" s="6"/>
      <c r="F64" s="6"/>
      <c r="G64" s="6"/>
      <c r="H64" s="6"/>
      <c r="I64" s="6" t="s">
        <v>164</v>
      </c>
      <c r="J64" t="s">
        <v>153</v>
      </c>
    </row>
    <row r="65" ht="15.75" customHeight="1">
      <c r="A65" s="7">
        <v>63.0</v>
      </c>
      <c r="B65" s="6"/>
      <c r="C65" s="6"/>
      <c r="D65" s="6"/>
      <c r="E65" s="6"/>
      <c r="F65" s="6"/>
      <c r="G65" s="6"/>
      <c r="H65" s="6"/>
      <c r="I65" s="6" t="s">
        <v>165</v>
      </c>
      <c r="J65" t="s">
        <v>153</v>
      </c>
    </row>
    <row r="66" ht="15.75" customHeight="1">
      <c r="A66" s="7">
        <v>64.0</v>
      </c>
      <c r="B66" s="6"/>
      <c r="C66" s="6"/>
      <c r="D66" s="6"/>
      <c r="E66" s="6"/>
      <c r="F66" s="6"/>
      <c r="G66" s="6"/>
      <c r="H66" s="6"/>
      <c r="I66" s="6" t="s">
        <v>166</v>
      </c>
      <c r="J66" t="s">
        <v>153</v>
      </c>
    </row>
    <row r="67" ht="15.75" customHeight="1">
      <c r="A67" s="7">
        <v>65.0</v>
      </c>
      <c r="B67" s="6"/>
      <c r="C67" s="6"/>
      <c r="D67" s="6"/>
      <c r="E67" s="6"/>
      <c r="F67" s="6"/>
      <c r="G67" s="6"/>
      <c r="H67" s="6"/>
      <c r="I67" s="6" t="s">
        <v>167</v>
      </c>
      <c r="J67" t="s">
        <v>153</v>
      </c>
    </row>
    <row r="68" ht="15.75" customHeight="1">
      <c r="A68" s="7">
        <v>66.0</v>
      </c>
      <c r="B68" s="6"/>
      <c r="C68" s="6"/>
      <c r="D68" s="6"/>
      <c r="E68" s="6"/>
      <c r="F68" s="6"/>
      <c r="G68" s="6"/>
      <c r="H68" s="6"/>
      <c r="I68" s="6" t="s">
        <v>168</v>
      </c>
      <c r="J68" t="s">
        <v>153</v>
      </c>
    </row>
    <row r="69" ht="15.75" customHeight="1">
      <c r="A69" s="7">
        <v>67.0</v>
      </c>
      <c r="B69" s="6"/>
      <c r="C69" s="6"/>
      <c r="D69" s="6"/>
      <c r="E69" s="6"/>
      <c r="F69" s="6"/>
      <c r="G69" s="6"/>
      <c r="H69" s="6"/>
      <c r="I69" s="6" t="s">
        <v>169</v>
      </c>
      <c r="J69" t="s">
        <v>153</v>
      </c>
    </row>
    <row r="70" ht="15.75" customHeight="1">
      <c r="A70" s="7">
        <v>68.0</v>
      </c>
      <c r="B70" s="6"/>
      <c r="C70" s="6"/>
      <c r="D70" s="6"/>
      <c r="E70" s="6"/>
      <c r="F70" s="6"/>
      <c r="G70" s="6"/>
      <c r="H70" s="6"/>
      <c r="I70" s="6" t="s">
        <v>170</v>
      </c>
      <c r="J70" t="s">
        <v>153</v>
      </c>
    </row>
    <row r="71" ht="15.75" customHeight="1">
      <c r="A71" s="7">
        <v>69.0</v>
      </c>
      <c r="B71" s="6"/>
      <c r="C71" s="6"/>
      <c r="D71" s="6"/>
      <c r="E71" s="6"/>
      <c r="F71" s="6"/>
      <c r="G71" s="6"/>
      <c r="H71" s="6"/>
      <c r="I71" s="6" t="s">
        <v>171</v>
      </c>
      <c r="J71" t="s">
        <v>153</v>
      </c>
    </row>
    <row r="72" ht="15.75" customHeight="1">
      <c r="A72" s="7">
        <v>70.0</v>
      </c>
      <c r="B72" s="6"/>
      <c r="C72" s="6"/>
      <c r="D72" s="6"/>
      <c r="E72" s="6"/>
      <c r="F72" s="6"/>
      <c r="G72" s="6"/>
      <c r="H72" s="6"/>
      <c r="I72" s="6" t="s">
        <v>172</v>
      </c>
      <c r="J72" t="s">
        <v>153</v>
      </c>
    </row>
    <row r="73" ht="15.75" customHeight="1">
      <c r="A73" s="7">
        <v>71.0</v>
      </c>
      <c r="B73" s="6"/>
      <c r="C73" s="6"/>
      <c r="D73" s="6"/>
      <c r="E73" s="6"/>
      <c r="F73" s="6"/>
      <c r="G73" s="6"/>
      <c r="H73" s="6"/>
      <c r="I73" s="6" t="s">
        <v>173</v>
      </c>
      <c r="J73" t="s">
        <v>153</v>
      </c>
    </row>
    <row r="74" ht="15.75" customHeight="1">
      <c r="A74" s="7">
        <v>72.0</v>
      </c>
      <c r="B74" s="6"/>
      <c r="C74" s="6"/>
      <c r="D74" s="6"/>
      <c r="E74" s="6"/>
      <c r="F74" s="6"/>
      <c r="G74" s="6"/>
      <c r="H74" s="6"/>
      <c r="I74" s="6" t="s">
        <v>174</v>
      </c>
      <c r="J74" t="s">
        <v>153</v>
      </c>
    </row>
    <row r="75" ht="15.75" customHeight="1">
      <c r="A75" s="7">
        <v>73.0</v>
      </c>
      <c r="B75" s="6"/>
      <c r="C75" s="6"/>
      <c r="D75" s="6"/>
      <c r="E75" s="6"/>
      <c r="F75" s="6"/>
      <c r="G75" s="6"/>
      <c r="H75" s="6"/>
      <c r="I75" s="6" t="s">
        <v>175</v>
      </c>
      <c r="J75" t="s">
        <v>153</v>
      </c>
    </row>
    <row r="76" ht="15.75" customHeight="1">
      <c r="A76" s="7">
        <v>74.0</v>
      </c>
      <c r="B76" s="6"/>
      <c r="C76" s="6"/>
      <c r="D76" s="6"/>
      <c r="E76" s="6"/>
      <c r="F76" s="6"/>
      <c r="G76" s="6"/>
      <c r="H76" s="6"/>
      <c r="I76" s="6" t="s">
        <v>176</v>
      </c>
      <c r="J76" t="s">
        <v>153</v>
      </c>
    </row>
    <row r="77" ht="15.75" customHeight="1">
      <c r="A77" s="7">
        <v>75.0</v>
      </c>
      <c r="B77" s="6"/>
      <c r="C77" s="6"/>
      <c r="D77" s="6"/>
      <c r="E77" s="6"/>
      <c r="F77" s="6"/>
      <c r="G77" s="6"/>
      <c r="H77" s="6"/>
      <c r="I77" s="6" t="s">
        <v>177</v>
      </c>
      <c r="J77" t="s">
        <v>153</v>
      </c>
    </row>
    <row r="78" ht="15.75" customHeight="1">
      <c r="A78" s="7">
        <v>76.0</v>
      </c>
      <c r="B78" s="6"/>
      <c r="C78" s="6"/>
      <c r="D78" s="6"/>
      <c r="E78" s="6"/>
      <c r="F78" s="6"/>
      <c r="G78" s="6"/>
      <c r="H78" s="6"/>
      <c r="I78" s="6" t="s">
        <v>85</v>
      </c>
      <c r="J78" s="6" t="s">
        <v>85</v>
      </c>
    </row>
    <row r="79" ht="15.75" customHeight="1">
      <c r="A79" s="7">
        <v>77.0</v>
      </c>
      <c r="B79" s="6"/>
      <c r="C79" s="6"/>
      <c r="D79" s="6"/>
      <c r="E79" s="6"/>
      <c r="F79" s="6"/>
      <c r="G79" s="6"/>
      <c r="H79" s="6"/>
      <c r="I79" s="6" t="s">
        <v>85</v>
      </c>
      <c r="J79" s="6" t="s">
        <v>85</v>
      </c>
    </row>
    <row r="80" ht="15.75" customHeight="1">
      <c r="A80" s="7">
        <v>78.0</v>
      </c>
      <c r="B80" s="6"/>
      <c r="C80" s="6"/>
      <c r="D80" s="6"/>
      <c r="E80" s="6"/>
      <c r="F80" s="6"/>
      <c r="G80" s="6"/>
      <c r="H80" s="6"/>
      <c r="I80" s="6" t="s">
        <v>85</v>
      </c>
      <c r="J80" s="6" t="s">
        <v>85</v>
      </c>
    </row>
    <row r="81" ht="15.75" customHeight="1">
      <c r="A81" s="7">
        <v>79.0</v>
      </c>
      <c r="B81" s="6"/>
      <c r="C81" s="6"/>
      <c r="D81" s="6"/>
      <c r="E81" s="6"/>
      <c r="F81" s="6"/>
      <c r="G81" s="6"/>
      <c r="H81" s="6"/>
      <c r="I81" s="6" t="s">
        <v>85</v>
      </c>
      <c r="J81" s="6" t="s">
        <v>85</v>
      </c>
    </row>
    <row r="82" ht="15.75" customHeight="1">
      <c r="A82" s="7">
        <v>80.0</v>
      </c>
      <c r="B82" s="6"/>
      <c r="C82" s="6"/>
      <c r="D82" s="6"/>
      <c r="E82" s="6"/>
      <c r="F82" s="6"/>
      <c r="G82" s="6"/>
      <c r="H82" s="6"/>
      <c r="I82" s="6" t="s">
        <v>85</v>
      </c>
      <c r="J82" s="6" t="s">
        <v>85</v>
      </c>
    </row>
    <row r="83" ht="15.75" customHeight="1">
      <c r="A83" s="7">
        <v>81.0</v>
      </c>
      <c r="B83" s="6"/>
      <c r="C83" s="6"/>
      <c r="D83" s="6"/>
      <c r="E83" s="6"/>
      <c r="F83" s="6"/>
      <c r="G83" s="6"/>
      <c r="H83" s="6"/>
      <c r="I83" s="6" t="s">
        <v>85</v>
      </c>
      <c r="J83" s="6" t="s">
        <v>85</v>
      </c>
    </row>
    <row r="84" ht="15.75" customHeight="1">
      <c r="A84" s="7">
        <v>82.0</v>
      </c>
      <c r="B84" s="6"/>
      <c r="C84" s="6"/>
      <c r="D84" s="6"/>
      <c r="E84" s="6"/>
      <c r="F84" s="6"/>
      <c r="G84" s="6"/>
      <c r="H84" s="6"/>
      <c r="I84" s="6" t="s">
        <v>85</v>
      </c>
      <c r="J84" s="6" t="s">
        <v>85</v>
      </c>
    </row>
    <row r="85" ht="15.75" customHeight="1">
      <c r="A85" s="7">
        <v>83.0</v>
      </c>
      <c r="B85" s="6"/>
      <c r="C85" s="6"/>
      <c r="D85" s="6"/>
      <c r="E85" s="6"/>
      <c r="F85" s="6"/>
      <c r="G85" s="6"/>
      <c r="H85" s="6"/>
      <c r="I85" s="6" t="s">
        <v>85</v>
      </c>
      <c r="J85" s="6" t="s">
        <v>85</v>
      </c>
    </row>
    <row r="86" ht="15.75" customHeight="1">
      <c r="A86" s="7">
        <v>84.0</v>
      </c>
      <c r="B86" s="6"/>
      <c r="C86" s="6"/>
      <c r="D86" s="6"/>
      <c r="E86" s="6"/>
      <c r="F86" s="6"/>
      <c r="G86" s="6"/>
      <c r="H86" s="6"/>
      <c r="I86" s="6" t="s">
        <v>85</v>
      </c>
      <c r="J86" s="6" t="s">
        <v>85</v>
      </c>
    </row>
    <row r="87" ht="15.75" customHeight="1">
      <c r="A87" s="7">
        <v>85.0</v>
      </c>
      <c r="B87" s="6"/>
      <c r="C87" s="6"/>
      <c r="D87" s="6"/>
      <c r="E87" s="6"/>
      <c r="F87" s="6"/>
      <c r="G87" s="6"/>
      <c r="H87" s="6"/>
      <c r="I87" s="6" t="s">
        <v>85</v>
      </c>
      <c r="J87" s="6" t="s">
        <v>85</v>
      </c>
    </row>
    <row r="88" ht="15.75" customHeight="1">
      <c r="A88" s="6"/>
      <c r="B88" s="4" t="s">
        <v>50</v>
      </c>
      <c r="C88" s="5" t="str">
        <f>SUM(C3:C87)</f>
        <v>0</v>
      </c>
      <c r="D88" s="6"/>
      <c r="E88" s="6"/>
      <c r="F88" s="6"/>
      <c r="G88" s="6"/>
      <c r="H88" s="6"/>
      <c r="I88" s="6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6.5"/>
    <col customWidth="1" min="3" max="3" width="18.63"/>
    <col customWidth="1" min="4" max="4" width="7.88"/>
    <col customWidth="1" min="5" max="5" width="24.63"/>
    <col customWidth="1" min="6" max="6" width="3.0"/>
    <col customWidth="1" min="7" max="11" width="7.88"/>
  </cols>
  <sheetData>
    <row r="1">
      <c r="A1" s="1" t="s">
        <v>178</v>
      </c>
      <c r="G1" s="19"/>
    </row>
    <row r="3">
      <c r="A3" s="4" t="s">
        <v>179</v>
      </c>
      <c r="B3" s="4" t="s">
        <v>180</v>
      </c>
      <c r="C3" s="4" t="s">
        <v>2</v>
      </c>
      <c r="D3" s="5" t="s">
        <v>3</v>
      </c>
      <c r="E3" s="4" t="s">
        <v>181</v>
      </c>
    </row>
    <row r="4" hidden="1">
      <c r="A4" s="7">
        <v>1.0</v>
      </c>
      <c r="B4" s="7"/>
      <c r="C4" t="s">
        <v>182</v>
      </c>
      <c r="D4" s="7">
        <v>3300.0</v>
      </c>
      <c r="E4" s="6" t="s">
        <v>183</v>
      </c>
    </row>
    <row r="5" hidden="1">
      <c r="A5" s="7">
        <v>2.0</v>
      </c>
      <c r="B5" s="7"/>
      <c r="C5" s="6" t="s">
        <v>184</v>
      </c>
      <c r="D5" s="7">
        <v>1370.0</v>
      </c>
      <c r="E5" s="6" t="s">
        <v>185</v>
      </c>
    </row>
    <row r="6" hidden="1">
      <c r="A6" s="7">
        <v>3.0</v>
      </c>
      <c r="B6" s="7"/>
      <c r="C6" s="6" t="s">
        <v>186</v>
      </c>
      <c r="D6" s="7">
        <v>500.0</v>
      </c>
      <c r="E6" s="6" t="s">
        <v>183</v>
      </c>
    </row>
    <row r="7" hidden="1">
      <c r="A7" s="7">
        <v>4.0</v>
      </c>
      <c r="B7" s="7"/>
      <c r="C7" s="6" t="s">
        <v>187</v>
      </c>
      <c r="D7" s="7">
        <v>4000.0</v>
      </c>
      <c r="E7" s="6" t="s">
        <v>185</v>
      </c>
    </row>
    <row r="8" hidden="1">
      <c r="A8" s="7">
        <v>5.0</v>
      </c>
      <c r="B8" s="7"/>
      <c r="C8" s="6" t="s">
        <v>188</v>
      </c>
      <c r="D8" s="7">
        <v>3800.0</v>
      </c>
      <c r="E8" s="6" t="s">
        <v>183</v>
      </c>
    </row>
    <row r="9" hidden="1">
      <c r="A9" s="7">
        <v>6.0</v>
      </c>
      <c r="B9" s="7"/>
      <c r="C9" s="6" t="s">
        <v>189</v>
      </c>
      <c r="D9" s="7">
        <v>4132.0</v>
      </c>
      <c r="E9" s="6" t="s">
        <v>183</v>
      </c>
    </row>
    <row r="10" hidden="1">
      <c r="A10" s="7">
        <v>7.0</v>
      </c>
      <c r="B10" s="7"/>
      <c r="C10" s="6" t="s">
        <v>190</v>
      </c>
      <c r="D10" s="7">
        <v>600.0</v>
      </c>
      <c r="E10" s="6" t="s">
        <v>183</v>
      </c>
    </row>
    <row r="11" hidden="1">
      <c r="A11" s="7">
        <v>8.0</v>
      </c>
      <c r="B11" s="7"/>
      <c r="C11" s="6" t="s">
        <v>191</v>
      </c>
      <c r="D11" s="7">
        <v>1000.0</v>
      </c>
      <c r="E11" s="6" t="s">
        <v>185</v>
      </c>
    </row>
    <row r="12" hidden="1">
      <c r="A12" s="7">
        <v>9.0</v>
      </c>
      <c r="B12" s="7"/>
      <c r="C12" s="6" t="s">
        <v>192</v>
      </c>
      <c r="D12" s="7">
        <v>852.0</v>
      </c>
      <c r="E12" s="6" t="s">
        <v>183</v>
      </c>
    </row>
    <row r="13" hidden="1">
      <c r="A13" s="7">
        <v>10.0</v>
      </c>
      <c r="B13" s="7"/>
      <c r="C13" s="6" t="s">
        <v>193</v>
      </c>
      <c r="D13" s="7">
        <v>170.0</v>
      </c>
      <c r="E13" s="6" t="s">
        <v>185</v>
      </c>
    </row>
    <row r="14" hidden="1">
      <c r="A14" s="7">
        <v>11.0</v>
      </c>
      <c r="B14" s="7"/>
      <c r="C14" s="6" t="s">
        <v>194</v>
      </c>
      <c r="D14" s="7">
        <v>280.0</v>
      </c>
      <c r="E14" s="6" t="s">
        <v>185</v>
      </c>
    </row>
    <row r="15" hidden="1">
      <c r="A15" s="7">
        <v>12.0</v>
      </c>
      <c r="B15" s="7"/>
      <c r="C15" s="6" t="s">
        <v>195</v>
      </c>
      <c r="D15" s="7">
        <v>220.0</v>
      </c>
      <c r="E15" s="6" t="s">
        <v>185</v>
      </c>
    </row>
    <row r="16" hidden="1">
      <c r="A16" s="7">
        <v>13.0</v>
      </c>
      <c r="B16" s="7"/>
      <c r="C16" s="6" t="s">
        <v>196</v>
      </c>
      <c r="D16" s="7">
        <v>135.0</v>
      </c>
      <c r="E16" s="6" t="s">
        <v>185</v>
      </c>
    </row>
    <row r="17" hidden="1">
      <c r="A17" s="7">
        <v>14.0</v>
      </c>
      <c r="B17" s="7"/>
      <c r="C17" s="6" t="s">
        <v>197</v>
      </c>
      <c r="D17" s="7" t="str">
        <f>112+50</f>
        <v>162</v>
      </c>
      <c r="E17" s="6" t="s">
        <v>185</v>
      </c>
    </row>
    <row r="18" hidden="1">
      <c r="A18" s="7">
        <v>15.0</v>
      </c>
      <c r="B18" s="7"/>
      <c r="C18" s="6" t="s">
        <v>198</v>
      </c>
      <c r="D18" s="7">
        <v>3500.0</v>
      </c>
      <c r="E18" s="6" t="s">
        <v>185</v>
      </c>
    </row>
    <row r="19" hidden="1">
      <c r="A19" s="7">
        <v>16.0</v>
      </c>
      <c r="B19" s="7"/>
      <c r="C19" s="6" t="s">
        <v>199</v>
      </c>
      <c r="D19" s="7" t="str">
        <f>200*12</f>
        <v>2400</v>
      </c>
      <c r="E19" s="6" t="s">
        <v>183</v>
      </c>
    </row>
    <row r="20">
      <c r="A20" s="7">
        <v>17.0</v>
      </c>
      <c r="B20" s="7"/>
      <c r="C20" s="20" t="s">
        <v>200</v>
      </c>
      <c r="D20" s="7">
        <v>1000.0</v>
      </c>
      <c r="E20" s="6" t="s">
        <v>201</v>
      </c>
    </row>
    <row r="21" ht="15.75" hidden="1" customHeight="1">
      <c r="A21" s="7">
        <v>18.0</v>
      </c>
      <c r="B21" s="7"/>
      <c r="C21" s="6" t="s">
        <v>202</v>
      </c>
      <c r="D21" s="7">
        <v>180.0</v>
      </c>
      <c r="E21" s="6" t="s">
        <v>183</v>
      </c>
    </row>
    <row r="22" ht="15.75" hidden="1" customHeight="1">
      <c r="A22" s="7">
        <v>19.0</v>
      </c>
      <c r="B22" s="7"/>
      <c r="C22" s="6" t="s">
        <v>203</v>
      </c>
      <c r="D22" s="7">
        <v>1438.0</v>
      </c>
      <c r="E22" s="6" t="s">
        <v>185</v>
      </c>
    </row>
    <row r="23" ht="15.75" hidden="1" customHeight="1">
      <c r="A23" s="7">
        <v>20.0</v>
      </c>
      <c r="B23" s="7"/>
      <c r="C23" s="6" t="s">
        <v>204</v>
      </c>
      <c r="D23" s="7" t="str">
        <f>150+500</f>
        <v>650</v>
      </c>
      <c r="E23" s="6" t="s">
        <v>183</v>
      </c>
    </row>
    <row r="24" ht="15.75" hidden="1" customHeight="1">
      <c r="A24" s="7">
        <v>21.0</v>
      </c>
      <c r="B24" s="7"/>
      <c r="C24" s="6" t="s">
        <v>205</v>
      </c>
      <c r="D24" s="7">
        <v>1200.0</v>
      </c>
      <c r="E24" s="6" t="s">
        <v>185</v>
      </c>
    </row>
    <row r="25" ht="15.75" hidden="1" customHeight="1">
      <c r="A25" s="7">
        <v>22.0</v>
      </c>
      <c r="B25" s="7"/>
      <c r="C25" s="6" t="s">
        <v>206</v>
      </c>
      <c r="D25" s="7">
        <v>640.0</v>
      </c>
      <c r="E25" s="6" t="s">
        <v>207</v>
      </c>
    </row>
    <row r="26" ht="15.75" hidden="1" customHeight="1">
      <c r="A26" s="7">
        <v>23.0</v>
      </c>
      <c r="B26" s="7"/>
      <c r="C26" s="6" t="s">
        <v>208</v>
      </c>
      <c r="D26" s="7">
        <v>240.0</v>
      </c>
      <c r="E26" s="6" t="s">
        <v>183</v>
      </c>
    </row>
    <row r="27" ht="15.75" hidden="1" customHeight="1">
      <c r="A27" s="7">
        <v>24.0</v>
      </c>
      <c r="B27" s="7"/>
      <c r="C27" s="6" t="s">
        <v>209</v>
      </c>
      <c r="D27" s="7">
        <v>100.0</v>
      </c>
      <c r="E27" s="6" t="s">
        <v>183</v>
      </c>
    </row>
    <row r="28" ht="15.75" hidden="1" customHeight="1">
      <c r="A28" s="7">
        <v>25.0</v>
      </c>
      <c r="B28" s="7"/>
      <c r="C28" s="6" t="s">
        <v>210</v>
      </c>
      <c r="D28" s="7">
        <v>1100.0</v>
      </c>
      <c r="E28" s="6" t="s">
        <v>185</v>
      </c>
    </row>
    <row r="29" ht="15.75" hidden="1" customHeight="1">
      <c r="A29" s="7">
        <v>26.0</v>
      </c>
      <c r="B29" s="7"/>
      <c r="C29" s="6" t="s">
        <v>211</v>
      </c>
      <c r="D29" s="7">
        <v>660.0</v>
      </c>
      <c r="E29" s="6" t="s">
        <v>185</v>
      </c>
    </row>
    <row r="30" ht="15.75" hidden="1" customHeight="1">
      <c r="A30" s="7">
        <v>27.0</v>
      </c>
      <c r="B30" s="7"/>
      <c r="C30" s="6" t="s">
        <v>212</v>
      </c>
      <c r="D30" s="7">
        <v>1000.0</v>
      </c>
      <c r="E30" s="6" t="s">
        <v>185</v>
      </c>
    </row>
    <row r="31" ht="15.75" customHeight="1">
      <c r="A31" s="7">
        <v>28.0</v>
      </c>
      <c r="B31" s="7"/>
      <c r="C31" s="6" t="s">
        <v>213</v>
      </c>
      <c r="D31" s="7">
        <v>700.0</v>
      </c>
      <c r="E31" s="6" t="s">
        <v>201</v>
      </c>
    </row>
    <row r="32" ht="15.75" hidden="1" customHeight="1">
      <c r="A32" s="7">
        <v>29.0</v>
      </c>
      <c r="B32" s="7"/>
      <c r="C32" s="6" t="s">
        <v>214</v>
      </c>
      <c r="D32" s="7">
        <v>500.0</v>
      </c>
      <c r="E32" s="6" t="s">
        <v>185</v>
      </c>
    </row>
    <row r="33" ht="15.75" customHeight="1">
      <c r="A33" s="7">
        <v>30.0</v>
      </c>
      <c r="B33" s="7"/>
      <c r="C33" s="20" t="s">
        <v>215</v>
      </c>
      <c r="D33" s="7" t="str">
        <f>175+60+30</f>
        <v>265</v>
      </c>
      <c r="E33" s="6" t="s">
        <v>201</v>
      </c>
    </row>
    <row r="34" ht="15.75" hidden="1" customHeight="1">
      <c r="A34" s="7">
        <v>31.0</v>
      </c>
      <c r="B34" s="7"/>
      <c r="C34" s="6"/>
      <c r="D34" s="7"/>
      <c r="E34" s="6"/>
    </row>
    <row r="35" ht="15.75" hidden="1" customHeight="1">
      <c r="A35" s="7">
        <v>32.0</v>
      </c>
      <c r="B35" s="7"/>
      <c r="C35" s="6"/>
      <c r="D35" s="7"/>
      <c r="E35" s="6"/>
    </row>
    <row r="36" ht="15.75" hidden="1" customHeight="1">
      <c r="A36" s="7">
        <v>33.0</v>
      </c>
      <c r="B36" s="7"/>
      <c r="C36" s="6"/>
      <c r="D36" s="7"/>
      <c r="E36" s="6"/>
    </row>
    <row r="37" ht="15.75" hidden="1" customHeight="1">
      <c r="A37" s="7"/>
      <c r="B37" s="5" t="s">
        <v>216</v>
      </c>
      <c r="C37" s="4"/>
      <c r="D37" s="5" t="str">
        <f>SUM(D4:D36)</f>
        <v>36094</v>
      </c>
      <c r="E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$A$3:$E$37">
    <filterColumn colId="4">
      <filters>
        <filter val="pradik  online"/>
      </filters>
    </filterColumn>
  </autoFilter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8.0"/>
    <col customWidth="1" min="3" max="3" width="13.88"/>
    <col customWidth="1" min="4" max="4" width="19.38"/>
    <col customWidth="1" min="5" max="5" width="23.88"/>
    <col customWidth="1" min="6" max="6" width="8.0"/>
    <col customWidth="1" min="7" max="7" width="14.0"/>
    <col customWidth="1" min="8" max="8" width="27.5"/>
    <col customWidth="1" min="9" max="9" width="14.5"/>
    <col customWidth="1" min="10" max="10" width="5.75"/>
    <col customWidth="1" min="11" max="11" width="11.75"/>
    <col customWidth="1" min="12" max="14" width="8.0"/>
  </cols>
  <sheetData>
    <row r="2" ht="30.0" customHeight="1">
      <c r="B2" s="21" t="s">
        <v>217</v>
      </c>
    </row>
    <row r="3">
      <c r="D3" s="1"/>
    </row>
    <row r="4">
      <c r="B4" s="22" t="s">
        <v>179</v>
      </c>
      <c r="C4" s="22" t="s">
        <v>180</v>
      </c>
      <c r="D4" s="22" t="s">
        <v>218</v>
      </c>
      <c r="E4" s="22" t="s">
        <v>219</v>
      </c>
      <c r="H4" t="s">
        <v>181</v>
      </c>
      <c r="I4" t="s">
        <v>220</v>
      </c>
      <c r="J4" t="s">
        <v>221</v>
      </c>
      <c r="K4" t="s">
        <v>222</v>
      </c>
    </row>
    <row r="5">
      <c r="B5" s="7">
        <v>1.0</v>
      </c>
      <c r="C5" s="23">
        <v>45896.0</v>
      </c>
      <c r="D5" s="7">
        <v>1.0</v>
      </c>
      <c r="E5" s="7">
        <v>2.0</v>
      </c>
      <c r="H5" t="s">
        <v>201</v>
      </c>
      <c r="I5">
        <v>1965.0</v>
      </c>
      <c r="J5">
        <v>27385.0</v>
      </c>
      <c r="K5" t="str">
        <f>J5-I5</f>
        <v>25420</v>
      </c>
      <c r="L5">
        <v>982.0</v>
      </c>
      <c r="M5">
        <v>325.0</v>
      </c>
      <c r="N5" t="s">
        <v>223</v>
      </c>
    </row>
    <row r="6">
      <c r="B6" s="7">
        <v>2.0</v>
      </c>
      <c r="C6" s="24" t="str">
        <f t="shared" ref="C6:C14" si="1">C5+1</f>
        <v>28/Aug/2025</v>
      </c>
      <c r="D6" s="7">
        <v>3.0</v>
      </c>
      <c r="E6" s="7">
        <v>4.0</v>
      </c>
      <c r="H6" t="s">
        <v>207</v>
      </c>
      <c r="I6">
        <v>640.0</v>
      </c>
      <c r="J6">
        <v>0.0</v>
      </c>
      <c r="K6">
        <v>640.0</v>
      </c>
    </row>
    <row r="7">
      <c r="B7" s="7">
        <v>3.0</v>
      </c>
      <c r="C7" s="24" t="str">
        <f t="shared" si="1"/>
        <v>29/Aug/2025</v>
      </c>
      <c r="D7" s="7">
        <v>7.0</v>
      </c>
      <c r="E7" s="7">
        <v>8.0</v>
      </c>
      <c r="H7" t="s">
        <v>185</v>
      </c>
      <c r="I7">
        <v>16735.0</v>
      </c>
      <c r="J7">
        <v>17717.0</v>
      </c>
      <c r="K7">
        <v>-982.0</v>
      </c>
    </row>
    <row r="8">
      <c r="B8" s="7">
        <v>4.0</v>
      </c>
      <c r="C8" s="24" t="str">
        <f t="shared" si="1"/>
        <v>30/Aug/2025</v>
      </c>
      <c r="D8" s="7">
        <v>9.0</v>
      </c>
      <c r="E8" s="7">
        <v>10.0</v>
      </c>
      <c r="H8" t="s">
        <v>183</v>
      </c>
      <c r="I8">
        <v>16754.0</v>
      </c>
      <c r="J8">
        <v>0.0</v>
      </c>
      <c r="K8">
        <v>16754.0</v>
      </c>
    </row>
    <row r="9">
      <c r="B9" s="7">
        <v>5.0</v>
      </c>
      <c r="C9" s="24" t="str">
        <f t="shared" si="1"/>
        <v>31/Aug/2025</v>
      </c>
      <c r="D9" s="7">
        <v>11.0</v>
      </c>
      <c r="E9" s="7">
        <v>13.0</v>
      </c>
      <c r="H9" t="s">
        <v>93</v>
      </c>
      <c r="I9" s="11" t="str">
        <f>SUM(I5:I8)</f>
        <v>36094</v>
      </c>
      <c r="K9" s="11" t="str">
        <f>SUM(K5:K8)</f>
        <v>41832</v>
      </c>
    </row>
    <row r="10">
      <c r="B10" s="7">
        <v>6.0</v>
      </c>
      <c r="C10" s="24" t="str">
        <f t="shared" si="1"/>
        <v>1/Sep/2025</v>
      </c>
      <c r="D10" s="7">
        <v>14.0</v>
      </c>
      <c r="E10" s="7">
        <v>15.0</v>
      </c>
    </row>
    <row r="11">
      <c r="B11" s="7">
        <v>7.0</v>
      </c>
      <c r="C11" s="24" t="str">
        <f t="shared" si="1"/>
        <v>2/Sep/2025</v>
      </c>
      <c r="D11" s="7" t="s">
        <v>224</v>
      </c>
      <c r="E11" s="7">
        <v>17.0</v>
      </c>
      <c r="H11" s="8" t="s">
        <v>225</v>
      </c>
      <c r="I11" s="8">
        <v>27385.0</v>
      </c>
    </row>
    <row r="12">
      <c r="B12" s="7">
        <v>8.0</v>
      </c>
      <c r="C12" s="24" t="str">
        <f t="shared" si="1"/>
        <v>3/Sep/2025</v>
      </c>
      <c r="D12" s="7">
        <v>18.0</v>
      </c>
      <c r="E12" s="7">
        <v>19.0</v>
      </c>
      <c r="H12" s="6" t="s">
        <v>10</v>
      </c>
      <c r="I12" s="6">
        <v>982.0</v>
      </c>
    </row>
    <row r="13">
      <c r="B13" s="7">
        <v>9.0</v>
      </c>
      <c r="C13" s="24" t="str">
        <f t="shared" si="1"/>
        <v>4/Sep/2025</v>
      </c>
      <c r="D13" s="7">
        <v>20.0</v>
      </c>
      <c r="E13" s="7">
        <v>22.0</v>
      </c>
      <c r="H13" s="6" t="s">
        <v>11</v>
      </c>
      <c r="I13" s="6" t="str">
        <f>SUM(I11:I12)</f>
        <v>28367</v>
      </c>
    </row>
    <row r="14">
      <c r="B14" s="7">
        <v>10.0</v>
      </c>
      <c r="C14" s="24" t="str">
        <f t="shared" si="1"/>
        <v>5/Sep/2025</v>
      </c>
      <c r="D14" s="7">
        <v>23.0</v>
      </c>
      <c r="E14" s="7">
        <v>24.0</v>
      </c>
      <c r="H14" s="8" t="s">
        <v>12</v>
      </c>
      <c r="I14" s="6"/>
    </row>
    <row r="15">
      <c r="H15" s="6" t="s">
        <v>13</v>
      </c>
      <c r="I15" s="6">
        <v>1965.0</v>
      </c>
    </row>
    <row r="16">
      <c r="B16" s="19" t="s">
        <v>226</v>
      </c>
      <c r="H16" s="6" t="s">
        <v>14</v>
      </c>
      <c r="I16" s="6">
        <v>16735.0</v>
      </c>
    </row>
    <row r="17" ht="18.0" customHeight="1">
      <c r="B17" t="s">
        <v>227</v>
      </c>
      <c r="H17" s="6" t="s">
        <v>15</v>
      </c>
      <c r="I17" s="6">
        <v>640.0</v>
      </c>
    </row>
    <row r="18" ht="18.0" customHeight="1">
      <c r="B18" t="s">
        <v>228</v>
      </c>
      <c r="H18" s="6"/>
      <c r="I18" s="6" t="str">
        <f>SUM(I15:I17)</f>
        <v>19340</v>
      </c>
    </row>
    <row r="19" ht="18.0" customHeight="1">
      <c r="B19" t="s">
        <v>229</v>
      </c>
      <c r="H19" s="6" t="s">
        <v>17</v>
      </c>
      <c r="I19" s="6" t="str">
        <f>I13-I18</f>
        <v>9027</v>
      </c>
    </row>
    <row r="20" ht="18.0" customHeight="1">
      <c r="B20" t="s">
        <v>230</v>
      </c>
    </row>
    <row r="21" ht="18.0" customHeight="1">
      <c r="B21" t="s">
        <v>231</v>
      </c>
      <c r="H21" s="6" t="s">
        <v>18</v>
      </c>
      <c r="I21" s="6">
        <v>17717.0</v>
      </c>
    </row>
    <row r="22" ht="18.0" customHeight="1">
      <c r="B22" t="s">
        <v>232</v>
      </c>
      <c r="H22" s="6" t="s">
        <v>12</v>
      </c>
      <c r="I22" s="6">
        <v>16735.0</v>
      </c>
    </row>
    <row r="23" ht="15.75" customHeight="1">
      <c r="H23" s="6" t="s">
        <v>20</v>
      </c>
      <c r="I23" s="6" t="str">
        <f>I21-I22</f>
        <v>982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B2:E2"/>
    <mergeCell ref="D3:E3"/>
  </mergeCells>
  <printOptions/>
  <pageMargins bottom="1.0" footer="0.0" header="0.0" left="0.751388888888889" right="0.751388888888889" top="1.0"/>
  <pageSetup fitToHeight="0"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6</vt:i4>
      </vt:variant>
    </vt:vector>
  </HeadingPairs>
  <TitlesOfParts>
    <vt:vector baseType="lpstr" size="6">
      <vt:lpstr>Top Sheet</vt:lpstr>
      <vt:lpstr>Owner</vt:lpstr>
      <vt:lpstr>Rental</vt:lpstr>
      <vt:lpstr>Sheet8</vt:lpstr>
      <vt:lpstr>Kharch</vt:lpstr>
      <vt:lpstr>आरतीचे</vt:lpstr>
    </vt:vector>
  </TitlesOfParts>
  <Application>Excel Android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2024-09-07T18:01:00Z</dcterms:created>
  <dc:creator>DELL</dc:creator>
  <cp:lastModifiedBy>DELL</cp:lastModifiedBy>
  <dcterms:modified xsi:type="dcterms:W3CDTF">2025-09-07T08:25:58Z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5F79B5E3108E4C7CBFC8CFDFE374F122_12</vt:lpwstr>
  </property>
  <property fmtid="{D5CDD505-2E9C-101B-9397-08002B2CF9AE}" pid="3" name="KSOProductBuildVer">
    <vt:lpwstr>1033-12.2.0.21931</vt:lpwstr>
  </property>
</Properties>
</file>